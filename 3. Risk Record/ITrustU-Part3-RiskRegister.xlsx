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ris\Documents\School\DSA Program\Semester 7\BDB700 - Risk Management\Assignments\Risk Management Plan\3. Risk Record\"/>
    </mc:Choice>
  </mc:AlternateContent>
  <xr:revisionPtr revIDLastSave="0" documentId="13_ncr:1_{CB5B6B15-9B30-45D2-925C-A78E171E048E}" xr6:coauthVersionLast="47" xr6:coauthVersionMax="47" xr10:uidLastSave="{00000000-0000-0000-0000-000000000000}"/>
  <bookViews>
    <workbookView xWindow="28680" yWindow="-120" windowWidth="29040" windowHeight="15720" activeTab="2" xr2:uid="{00000000-000D-0000-FFFF-FFFF00000000}"/>
  </bookViews>
  <sheets>
    <sheet name="Overview" sheetId="1" r:id="rId1"/>
    <sheet name="Record View" sheetId="2" r:id="rId2"/>
    <sheet name="RiskRegister" sheetId="3" r:id="rId3"/>
    <sheet name="Assessment Guide" sheetId="4" r:id="rId4"/>
    <sheet name="ReadM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9" i="3" l="1"/>
  <c r="P48" i="3"/>
  <c r="P47" i="3"/>
  <c r="P46" i="3"/>
  <c r="P45" i="3"/>
  <c r="P44" i="3"/>
  <c r="C16" i="1" s="1"/>
  <c r="P43" i="3"/>
  <c r="P42" i="3"/>
  <c r="P41" i="3"/>
  <c r="P40" i="3"/>
  <c r="P39" i="3"/>
  <c r="P38" i="3"/>
  <c r="P37" i="3"/>
  <c r="P36" i="3"/>
  <c r="P35" i="3"/>
  <c r="P34" i="3"/>
  <c r="P33" i="3"/>
  <c r="C15" i="1" s="1"/>
  <c r="P32" i="3"/>
  <c r="P31" i="3"/>
  <c r="P30" i="3"/>
  <c r="P29" i="3"/>
  <c r="P28" i="3"/>
  <c r="P27" i="3"/>
  <c r="P26" i="3"/>
  <c r="P25" i="3"/>
  <c r="P24" i="3"/>
  <c r="P23" i="3"/>
  <c r="P22" i="3"/>
  <c r="P21" i="3"/>
  <c r="P20" i="3"/>
  <c r="C14" i="1" s="1"/>
  <c r="P19" i="3"/>
  <c r="P18" i="3"/>
  <c r="P17" i="3"/>
  <c r="P16" i="3"/>
  <c r="P15" i="3"/>
  <c r="P14" i="3"/>
  <c r="P13" i="3"/>
  <c r="P12" i="3"/>
  <c r="P11" i="3"/>
  <c r="P10" i="3"/>
  <c r="P9" i="3"/>
  <c r="P8" i="3"/>
  <c r="P7" i="3"/>
  <c r="P6" i="3"/>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16" i="1"/>
  <c r="F15" i="1"/>
  <c r="B15" i="1"/>
  <c r="F14" i="1"/>
  <c r="B14" i="1"/>
  <c r="F13" i="1"/>
  <c r="B13" i="1"/>
  <c r="B8" i="1"/>
  <c r="B7" i="1"/>
  <c r="B6" i="1"/>
  <c r="C13" i="1" l="1"/>
  <c r="F9" i="1"/>
  <c r="F6" i="1"/>
  <c r="F7" i="1"/>
  <c r="F8" i="1"/>
</calcChain>
</file>

<file path=xl/sharedStrings.xml><?xml version="1.0" encoding="utf-8"?>
<sst xmlns="http://schemas.openxmlformats.org/spreadsheetml/2006/main" count="1456" uniqueCount="746">
  <si>
    <t>ITrustU risk register</t>
  </si>
  <si>
    <t>Initial assessment: April 1, 2020. Likelihood horizon: April 1–June 30, 2020.</t>
  </si>
  <si>
    <t>Assessment position</t>
  </si>
  <si>
    <t>Records</t>
  </si>
  <si>
    <t>Inherent rating</t>
  </si>
  <si>
    <t>Active risks</t>
  </si>
  <si>
    <t>Low</t>
  </si>
  <si>
    <t>Awaiting tolerability assessment</t>
  </si>
  <si>
    <t>Moderate</t>
  </si>
  <si>
    <t>Consolidated records retained</t>
  </si>
  <si>
    <t>High</t>
  </si>
  <si>
    <t>Extreme</t>
  </si>
  <si>
    <t>FIRM area</t>
  </si>
  <si>
    <t>Tolerability</t>
  </si>
  <si>
    <t>Financial</t>
  </si>
  <si>
    <t>Tolerable</t>
  </si>
  <si>
    <t>Infrastructure</t>
  </si>
  <si>
    <t>Not tolerable</t>
  </si>
  <si>
    <t>Reputation</t>
  </si>
  <si>
    <t>Awaiting assessment</t>
  </si>
  <si>
    <t>Marketing</t>
  </si>
  <si>
    <t>Tolerability conclusions are provisional and depend on the controls, evidence and assumptions recorded for each risk.</t>
  </si>
  <si>
    <t>Awaiting assessment identifies unresolved evidence needs. It does not authorize acceptance of the exposure.</t>
  </si>
  <si>
    <t>All 44 permanent IDs remain. Three records are consolidated into other risks and excluded from active totals. R-013 is unused.</t>
  </si>
  <si>
    <t>Review weekly during the initial response period and after significant incidents or changes. Escalate urgent issues immediately.</t>
  </si>
  <si>
    <t>Individual risk record</t>
  </si>
  <si>
    <t>Select a Record ID in B4. Edit the underlying entry in RiskRegister.</t>
  </si>
  <si>
    <t>Record ID</t>
  </si>
  <si>
    <t>R-001</t>
  </si>
  <si>
    <t>Risk Code</t>
  </si>
  <si>
    <t>Risk title</t>
  </si>
  <si>
    <t>Index item</t>
  </si>
  <si>
    <t>Primary source</t>
  </si>
  <si>
    <t>Classification status</t>
  </si>
  <si>
    <t>Assessment status</t>
  </si>
  <si>
    <t>Cause or trigger</t>
  </si>
  <si>
    <t>Risk event</t>
  </si>
  <si>
    <t>Potential impact</t>
  </si>
  <si>
    <t>Objective or dependency</t>
  </si>
  <si>
    <t>Likelihood horizon</t>
  </si>
  <si>
    <t>Likelihood</t>
  </si>
  <si>
    <t>Magnitude</t>
  </si>
  <si>
    <t>Likelihood reasoning</t>
  </si>
  <si>
    <t>Magnitude reasoning</t>
  </si>
  <si>
    <t>Existing controls</t>
  </si>
  <si>
    <t>Control evidence status</t>
  </si>
  <si>
    <t>Control effectiveness</t>
  </si>
  <si>
    <t>Control gap or evidence needed</t>
  </si>
  <si>
    <t>Tolerability reasoning</t>
  </si>
  <si>
    <t>Controllability</t>
  </si>
  <si>
    <t>Business imperative</t>
  </si>
  <si>
    <t>Longer-term exposure</t>
  </si>
  <si>
    <t>Risk owner</t>
  </si>
  <si>
    <t>Evidence and experience</t>
  </si>
  <si>
    <t>Record status</t>
  </si>
  <si>
    <t>Consolidated into</t>
  </si>
  <si>
    <t>Assessment as of</t>
  </si>
  <si>
    <t>Horizon end</t>
  </si>
  <si>
    <t>Owner designation</t>
  </si>
  <si>
    <t>Initial assessment: April 1, 2020. Likelihood horizon ends June 30, 2020. Inherent ratings and tolerability are assessed separately.</t>
  </si>
  <si>
    <t>F1-E-01</t>
  </si>
  <si>
    <t>Pandemic-response costs exceed available funds</t>
  </si>
  <si>
    <t>1.1</t>
  </si>
  <si>
    <t>E</t>
  </si>
  <si>
    <t>Current classification</t>
  </si>
  <si>
    <t>Tolerability awaiting evidence</t>
  </si>
  <si>
    <t>Urgent, unplanned spending on equipment, training, technology and continuity arrangements.</t>
  </si>
  <si>
    <t>Required pandemic-response spending exceeds the funds available when needed.</t>
  </si>
  <si>
    <t>Essential improvements may be delayed or funds diverted from other commitments, weakening continuity and policyholder protection.</t>
  </si>
  <si>
    <t>Funding essential services</t>
  </si>
  <si>
    <t>2020-04-01 to 2020-06-30</t>
  </si>
  <si>
    <t>Urgent costs could exceed available funding, but no response budget or cash forecast establishes that a shortfall is likely.</t>
  </si>
  <si>
    <t>Major assumes a shortfall large enough to delay essential measures, rather than a minor budget overrun.</t>
  </si>
  <si>
    <t>Financial modelling of funds and expected expenditure.</t>
  </si>
  <si>
    <t>Reported control; implementation and scope require verification.</t>
  </si>
  <si>
    <t>Forecasting can identify a funding shortfall but does not ensure funds are available. Financial modelling scope, pandemic costs, payment timing and available cash remain unverified.</t>
  </si>
  <si>
    <t>Financial modelling scope, pandemic costs, payment timing and available cash remain unverified.</t>
  </si>
  <si>
    <t>The supplied information does not establish the remaining exposure after controls. Financial modelling scope, pandemic costs, payment timing and available cash remain unverified. A tolerability decision must consider the agreed appetite and the need to sustain funding essential services.</t>
  </si>
  <si>
    <t>Controllability is partial: internal preparation and decisions can reduce exposure, while external conditions may remain beyond our control.</t>
  </si>
  <si>
    <t>Sustain funding essential services as part of meeting essential service and policyholder obligations. Business necessity does not itself make the exposure tolerable.</t>
  </si>
  <si>
    <t>Consequences may extend beyond three months; reassess during weekly reviews. Initial likelihood horizon ends 2020-06-30; later information belongs to dated reviews.</t>
  </si>
  <si>
    <t>Finance Manager</t>
  </si>
  <si>
    <t>Business outline(1).pdf: The case confirms premium collection and investment activity, but no financial-modelling or liquidity-control specification (pp. 5–6). No internal incident history is verified. Only evidence available by 2020-04-01 can support the initial assessment.</t>
  </si>
  <si>
    <t>Active</t>
  </si>
  <si>
    <t>Proposed accountable role; individual to be designated</t>
  </si>
  <si>
    <t>R-002</t>
  </si>
  <si>
    <t>F1-S-01</t>
  </si>
  <si>
    <t>Tiva financial support is unavailable or unsuitable</t>
  </si>
  <si>
    <t>S</t>
  </si>
  <si>
    <t>Competing demands across the group and unconfirmed support terms.</t>
  </si>
  <si>
    <t>Financial support sought from Tiva is unavailable, delayed or offered on unsuitable terms.</t>
  </si>
  <si>
    <t>Alternative funding may be required or essential pandemic expenditure delayed.</t>
  </si>
  <si>
    <t>Independent financial capacity</t>
  </si>
  <si>
    <t>Competing group demands make delay plausible. Unconfirmed support alone does not establish its probability of being unavailable.</t>
  </si>
  <si>
    <t>Major is conditional on essential expenditure needing Tiva support and insufficient alternatives. Dependence has not been established.</t>
  </si>
  <si>
    <t>Financial modelling may assess funding needs and independent financial capacity; a scenario without Tiva support is unverified.</t>
  </si>
  <si>
    <t>Forecasting can identify a funding shortfall but does not ensure funds are available. Requested funding, independent funding capacity, support terms and alternatives need confirmation.</t>
  </si>
  <si>
    <t>Requested funding, independent funding capacity, support terms and alternatives need confirmation.</t>
  </si>
  <si>
    <t>The supplied information does not establish the remaining exposure after controls. Requested funding, independent funding capacity, support terms and alternatives need confirmation. A tolerability decision must consider the agreed appetite and the need to sustain independent financial capacity.</t>
  </si>
  <si>
    <t>Sustain independent financial capacity as part of meeting essential service and policyholder obligations. Business necessity does not itself make the exposure tolerable.</t>
  </si>
  <si>
    <t>R-003</t>
  </si>
  <si>
    <t>F2-G-01</t>
  </si>
  <si>
    <t>Resources are allocated away from significant risks</t>
  </si>
  <si>
    <t>1.2</t>
  </si>
  <si>
    <t>G</t>
  </si>
  <si>
    <t>Initial assessment; conclusions provisional</t>
  </si>
  <si>
    <t>Allocation decisions do not consistently consider exposure, urgency and dependencies.</t>
  </si>
  <si>
    <t>Funding and specialist capacity are directed away from essential risk priorities.</t>
  </si>
  <si>
    <t>Critical controls may remain under-resourced while less urgent work consumes capacity, increasing service and financial exposure.</t>
  </si>
  <si>
    <t>Resource allocation across essential functions</t>
  </si>
  <si>
    <t>Rapidly changing demands create a plausible allocation mismatch; the index alone does not prove current misallocation.</t>
  </si>
  <si>
    <t>A material mismatch could leave essential continuity measures unfunded and threaten obligations.</t>
  </si>
  <si>
    <t>Assessment assumption: financial modelling is in use for funds and expenditure. The case confirms financial activities, not this control.</t>
  </si>
  <si>
    <t>Mixed evidence: case arrangements plus explicit assessment assumptions; see Evidence and experience.</t>
  </si>
  <si>
    <t>Modelling can identify pressure but does not provide cash, prevent losses or prove scenario coverage. Effectiveness is unverified.</t>
  </si>
  <si>
    <t>Evidence that budgets follow agreed priorities and delegated authority is missing.</t>
  </si>
  <si>
    <t>Not tolerable on the working assumption that allocation and oversight gaps leave essential priorities under-resourced. Continuing operations requires coordinated allocation, not acceptance of unmanaged misallocation.</t>
  </si>
  <si>
    <t>Controllability is substantial for the identified internal cause, subject to available resources and verified implementation.</t>
  </si>
  <si>
    <t>Sustain resource allocation across essential functions as part of meeting essential service and policyholder obligations. Business necessity does not itself make the exposure tolerable.</t>
  </si>
  <si>
    <t>R-004</t>
  </si>
  <si>
    <t>F2-E-01</t>
  </si>
  <si>
    <t>Urgent claims require investment sales at a loss</t>
  </si>
  <si>
    <t>Claims payments accelerate while asset prices fall and liquid funds are constrained.</t>
  </si>
  <si>
    <t>Investments must be sold at unfavourable prices to meet immediate cash needs.</t>
  </si>
  <si>
    <t>Realized losses reduce financial capacity and future returns, potentially weakening claims funding.</t>
  </si>
  <si>
    <t>Claims liquidity</t>
  </si>
  <si>
    <t>Simultaneous claims and market pressure make forced sales plausible, but cash-flow and asset maturity evidence is absent.</t>
  </si>
  <si>
    <t>Major assumes forced sales materially weaken financial capacity; modest planned sales would have less impact.</t>
  </si>
  <si>
    <t>Cash forecasts, asset liquidity, planned sales and alternative funding need confirmation.</t>
  </si>
  <si>
    <t>Awaiting assessment: the case does not quantify the exposure and available financial capacity sufficiently to decide whether the remaining risk fits appetite. Cash forecasts, asset liquidity, planned sales and alternative funding need confirmation. Continued operations require this assessment; a High or Extreme inherent rating alone is not a tolerability decision.</t>
  </si>
  <si>
    <t>Sustain claims liquidity as part of meeting essential service and policyholder obligations. Business necessity does not itself make the exposure tolerable.</t>
  </si>
  <si>
    <t>R-005</t>
  </si>
  <si>
    <t>F3-C-01</t>
  </si>
  <si>
    <t>Fraudulent claims obtain unauthorized payouts</t>
  </si>
  <si>
    <t>1.3</t>
  </si>
  <si>
    <t>C</t>
  </si>
  <si>
    <t>Deliberate deception, fabricated evidence or account manipulation exploits verification weaknesses.</t>
  </si>
  <si>
    <t>Fraudulent claims are accepted and paid.</t>
  </si>
  <si>
    <t>Financial losses, investigation costs and customer mistrust may result; compromised accounts could also expose information.</t>
  </si>
  <si>
    <t>Accurate claims payments and customer information</t>
  </si>
  <si>
    <t>Remote processing and verification pressure could enable fraud; no reliable frequency data supports a higher likelihood.</t>
  </si>
  <si>
    <t>Organized or repeated fraud could create substantial losses; isolated low-value fraud would be less severe.</t>
  </si>
  <si>
    <t>Case: record keeping and database administration. Assessment assumption: an operational audit trail is maintained.</t>
  </si>
  <si>
    <t>Records support detection and investigation. They do not demonstrate preventive approval, fraud detection or counterparty protection.</t>
  </si>
  <si>
    <t>Payout authorization, segregation of duties and fraud detection are not evidenced in the submissions.</t>
  </si>
  <si>
    <t>Not tolerable on the assumption that material verification and payout-approval weaknesses persist. Basic records alone do not support accepting avoidable material fraud while claims payments continue.</t>
  </si>
  <si>
    <t>Sustain accurate claims payments and customer information as part of meeting essential service and policyholder obligations. Business necessity does not itself make the exposure tolerable.</t>
  </si>
  <si>
    <t>Claims Manager</t>
  </si>
  <si>
    <t>Business outline(1).pdf: The case confirms record keeping and database administration (p. 6), but not an effective transaction audit trail or approval process. No internal incident history is verified. Only evidence available by 2020-04-01 can support the initial assessment.</t>
  </si>
  <si>
    <t>R-006</t>
  </si>
  <si>
    <t>F3-S-01</t>
  </si>
  <si>
    <t>Outsourced control activities fail</t>
  </si>
  <si>
    <t>Critical control work depends on providers whose own capacity may deteriorate.</t>
  </si>
  <si>
    <t>An outsourced control is not performed reliably or fails to detect a material issue.</t>
  </si>
  <si>
    <t>Errors, unauthorized transactions or security issues may persist, causing financial loss and reputational harm.</t>
  </si>
  <si>
    <t>Reliable third-party controls</t>
  </si>
  <si>
    <t>Provider pressure makes failure plausible; outsourcing itself does not establish control failure.</t>
  </si>
  <si>
    <t>Major assumes failure of a critical control with material financial or information consequences.</t>
  </si>
  <si>
    <t>Control responsibilities, supplier assurance and operating evidence need verification.</t>
  </si>
  <si>
    <t>Not tolerable on the assumption that critical outsourced controls lack effective oversight. Provider involvement does not remove ITrustU’s accountability for material failures.</t>
  </si>
  <si>
    <t>Sustain reliable third-party controls as part of meeting essential service and policyholder obligations. Business necessity does not itself make the exposure tolerable.</t>
  </si>
  <si>
    <t>R-007</t>
  </si>
  <si>
    <t>F3-S-02</t>
  </si>
  <si>
    <t>Bank partners delay premium remittance</t>
  </si>
  <si>
    <t>Payment-processing disruption or counterparty difficulties interrupt remittance.</t>
  </si>
  <si>
    <t>Premiums collected through bank partners do not reach ITrustU when due.</t>
  </si>
  <si>
    <t>Cash inflows may fall short of planned claims and operating payments; reconciliation work and customer enquiries increase.</t>
  </si>
  <si>
    <t>Premium cash inflow</t>
  </si>
  <si>
    <t>Disruption is conceivable but no bank-specific weakness establishes it as likely during three months.</t>
  </si>
  <si>
    <t>Major assumes a material or prolonged remittance interruption rather than a brief settlement delay.</t>
  </si>
  <si>
    <t>Bank arrangements, reconciliations, concentration and liquidity buffers are unverified.</t>
  </si>
  <si>
    <t>Awaiting assessment: the case does not quantify the exposure and available financial capacity sufficiently to decide whether the remaining risk fits appetite. Bank arrangements, reconciliations, concentration and liquidity buffers are unverified. Continued operations require this assessment; a High or Extreme inherent rating alone is not a tolerability decision.</t>
  </si>
  <si>
    <t>Sustain premium cash inflow as part of meeting essential service and policyholder obligations. Business necessity does not itself make the exposure tolerable.</t>
  </si>
  <si>
    <t>R-008</t>
  </si>
  <si>
    <t>F3-S-03</t>
  </si>
  <si>
    <t>Reinsurance recoveries are delayed or unpaid</t>
  </si>
  <si>
    <t>Reinsurer financial pressure, disputed coverage or processing disruption.</t>
  </si>
  <si>
    <t>Contractually expected reinsurance recoveries are not received when needed.</t>
  </si>
  <si>
    <t>ITrustU must fund claims for longer or absorb unrecovered amounts, potentially threatening financial viability.</t>
  </si>
  <si>
    <t>Claims funding and reinsurance counterparties</t>
  </si>
  <si>
    <t>No counterparty-specific evidence establishes likely failure; exposure depends on actual contracts and recoveries due.</t>
  </si>
  <si>
    <t>Major: a material delayed or unpaid recovery requires significant funding adjustments and threatens timely claims settlement. Severe escalation requires recoveries large enough to threaten sustained claims-paying capacity or viability; amounts and arrangements are unknown.</t>
  </si>
  <si>
    <t>Coverage, exclusions, counterparties, recoveries due and ability to bridge delays are unknown.</t>
  </si>
  <si>
    <t>Awaiting assessment: the case does not quantify the exposure and available financial capacity sufficiently to decide whether the remaining risk fits appetite. Coverage, exclusions, counterparties, recoveries due and ability to bridge delays are unknown. Continued operations require this assessment; a High or Extreme inherent rating alone is not a tolerability decision.</t>
  </si>
  <si>
    <t>Sustain claims funding and reinsurance counterparties as part of meeting essential service and policyholder obligations. Business necessity does not itself make the exposure tolerable.</t>
  </si>
  <si>
    <t>R-009</t>
  </si>
  <si>
    <t>F3-E-01</t>
  </si>
  <si>
    <t>Bond issuers default on obligations</t>
  </si>
  <si>
    <t>Economic stress weakens issuers held in the investment portfolio.</t>
  </si>
  <si>
    <t>An issuer fails to pay interest or principal when due.</t>
  </si>
  <si>
    <t>Investment losses and reduced cash inflows weaken funds available for operations and policyholder obligations.</t>
  </si>
  <si>
    <t>Investment cash flows</t>
  </si>
  <si>
    <t>A stressed economy raises concern, but portfolio quality and issuer exposure are unavailable.</t>
  </si>
  <si>
    <t>Major assumes material concentration or multiple defaults; a small diversified holding may have less impact.</t>
  </si>
  <si>
    <t>Portfolio holdings, credit quality, concentration and credit monitoring need confirmation.</t>
  </si>
  <si>
    <t>Awaiting assessment: the case does not quantify the exposure and available financial capacity sufficiently to decide whether the remaining risk fits appetite. Portfolio holdings, credit quality, concentration and credit monitoring need confirmation. Continued operations require this assessment; a High or Extreme inherent rating alone is not a tolerability decision.</t>
  </si>
  <si>
    <t>Sustain investment cash flows as part of meeting essential service and policyholder obligations. Business necessity does not itself make the exposure tolerable.</t>
  </si>
  <si>
    <t>R-010</t>
  </si>
  <si>
    <t>F4-E-01</t>
  </si>
  <si>
    <t>Weather-related claims pressure claims-paying capacity</t>
  </si>
  <si>
    <t>1.4</t>
  </si>
  <si>
    <t>A major weather event affects many insured customers during the pandemic.</t>
  </si>
  <si>
    <t>A major weather event generates concentrated claims that place substantial pressure on claims-paying capacity.</t>
  </si>
  <si>
    <t>A sudden demand for claims payments may require significant funding adjustments and delay settlement, harming customers and confidence. Financial exhaustion is not assumed in the base scenario.</t>
  </si>
  <si>
    <t>Claims-paying capacity</t>
  </si>
  <si>
    <t>A catastrophe is possible but not established as likely in the initial three-month period.</t>
  </si>
  <si>
    <t>Major: Ontario concentration supports a credible substantial claims shock. Severe escalation would require losses overwhelming available resources and protection, which the case does not quantify.</t>
  </si>
  <si>
    <t>Catastrophe exposure, reserves, liquid assets and reinsurance protection are unverified.</t>
  </si>
  <si>
    <t>Awaiting assessment: the case does not quantify the exposure and available financial capacity sufficiently to decide whether the remaining risk fits appetite. Catastrophe exposure, reserves, liquid assets and reinsurance protection are unverified. Continued operations require this assessment; a High or Extreme inherent rating alone is not a tolerability decision.</t>
  </si>
  <si>
    <t>Sustain claims-paying capacity as part of meeting essential service and policyholder obligations. Business necessity does not itself make the exposure tolerable.</t>
  </si>
  <si>
    <t>Retain catastrophe exposure beyond the initial horizon; re-evaluate likelihood for each subsequent period. Initial likelihood horizon ends 2020-06-30; later information belongs to dated reviews.</t>
  </si>
  <si>
    <t>R-011</t>
  </si>
  <si>
    <t>F4-E-02</t>
  </si>
  <si>
    <t>Concurrent covered claims strain payment capacity</t>
  </si>
  <si>
    <t>Pandemic disruption increases covered claims across relevant product lines within a short period.</t>
  </si>
  <si>
    <t>Concurrent payable claims exceed planned payment and handling capacity.</t>
  </si>
  <si>
    <t>Liquidity pressure and claims delays may threaten policyholder obligations and customer trust.</t>
  </si>
  <si>
    <t>Claims funding and staffing</t>
  </si>
  <si>
    <t>Likely provisional judgment: disruption may concentrate covered claims, particularly relevant cancellations. Product terms, exclusions and submitted versus payable amounts must be distinguished. No separate medical product or automatic pandemic cover is assumed.</t>
  </si>
  <si>
    <t>Major assumes a substantial covered-claims concentration. Enquiries and exclusions do not automatically become payable claims.</t>
  </si>
  <si>
    <t>Product coverage, claim volumes, forecasts and reserve adequacy need confirmation.</t>
  </si>
  <si>
    <t>Awaiting assessment: the case does not quantify the exposure and available financial capacity sufficiently to decide whether the remaining risk fits appetite. Product coverage, claim volumes, forecasts and reserve adequacy need confirmation. Continued operations require this assessment; a High or Extreme inherent rating alone is not a tolerability decision.</t>
  </si>
  <si>
    <t>Sustain claims funding and staffing as part of meeting essential service and policyholder obligations. Business necessity does not itself make the exposure tolerable.</t>
  </si>
  <si>
    <t>R-012</t>
  </si>
  <si>
    <t>F4-E-03</t>
  </si>
  <si>
    <t>Falling yields weaken funding of long-term obligations</t>
  </si>
  <si>
    <t>Lower market yields reduce reinvestment returns and may increase the value of long-duration liabilities.</t>
  </si>
  <si>
    <t>Income and assets available to support life and pension obligations become less adequate relative to those obligations.</t>
  </si>
  <si>
    <t>Financial margins and funding capacity may deteriorate, with effects extending well beyond three months.</t>
  </si>
  <si>
    <t>Long-term policyholder funding</t>
  </si>
  <si>
    <t>A pandemic-related rate decline is plausible and likely, but the exact scenario date and portfolio sensitivity remain unspecified.</t>
  </si>
  <si>
    <t>Major depends on duration mismatch and exposure size; the effect is not an automatic immediate cash shortfall.</t>
  </si>
  <si>
    <t>Asset-liability modelling, duration sensitivity and stress scenarios need verification.</t>
  </si>
  <si>
    <t>Awaiting assessment: the case does not quantify the exposure and available financial capacity sufficiently to decide whether the remaining risk fits appetite. Asset-liability modelling, duration sensitivity and stress scenarios need verification. Continued operations require this assessment; a High or Extreme inherent rating alone is not a tolerability decision.</t>
  </si>
  <si>
    <t>Sustain long-term policyholder funding as part of meeting essential service and policyholder obligations. Business necessity does not itself make the exposure tolerable.</t>
  </si>
  <si>
    <t>Long-duration funding effects may build beyond three months. Review longer-term sensitivity separately; do not interpret the three-month likelihood as lifetime exposure. Initial likelihood horizon ends 2020-06-30; later information belongs to dated reviews.</t>
  </si>
  <si>
    <t>R-014</t>
  </si>
  <si>
    <t>I1-G-01</t>
  </si>
  <si>
    <t>The remote-work transition interrupts essential services</t>
  </si>
  <si>
    <t>2.1</t>
  </si>
  <si>
    <t>Remote-work responsibilities, procedures and support are insufficiently prepared.</t>
  </si>
  <si>
    <t>Employees cannot maintain essential workflows during the transition.</t>
  </si>
  <si>
    <t>Claims, premium collection and support may be delayed, with insecure workarounds and customer dissatisfaction.</t>
  </si>
  <si>
    <t>People, technology and continuity</t>
  </si>
  <si>
    <t>An abrupt transition with limited preparation makes disruption likely; absence of a plan is not itself the scored event.</t>
  </si>
  <si>
    <t>Major assumes disruption across essential workflows, rather than routine adaptation difficulties.</t>
  </si>
  <si>
    <t>No staff-continuity or wellbeing control is specified in the case. Assessment assumption: assumed preparation gaps apply at the assessment date.</t>
  </si>
  <si>
    <t>Existing staffing is capacity, not a tested continuity control. Backup coverage and support effectiveness remain unverified.</t>
  </si>
  <si>
    <t>Approved remote procedures, training, handover arrangements and implementation evidence are missing.</t>
  </si>
  <si>
    <t>Not tolerable on the assumed lack of workable remote procedures and readiness. Essential workflows must continue, but the current gaps threaten that objective.</t>
  </si>
  <si>
    <t>Sustain people, technology and continuity as part of meeting essential service and policyholder obligations. Business necessity does not itself make the exposure tolerable.</t>
  </si>
  <si>
    <t>Designated Executive Director</t>
  </si>
  <si>
    <t>Business outline(1).pdf: The case confirms a small workforce and functional roles (pp. 6–7), but no trained backup or staff-continuity arrangements. No internal incident history is verified. Only evidence available by 2020-04-01 can support the initial assessment.</t>
  </si>
  <si>
    <t>R-015</t>
  </si>
  <si>
    <t>I1-P-02</t>
  </si>
  <si>
    <t>Illness and isolation reduce essential staffing</t>
  </si>
  <si>
    <t>P</t>
  </si>
  <si>
    <t>Pandemic illness, household disruption and isolation affect a small workforce.</t>
  </si>
  <si>
    <t>Available staff fall below the capacity needed for essential services.</t>
  </si>
  <si>
    <t>Workloads and delays increase, potentially interrupting claims processing and customer support.</t>
  </si>
  <si>
    <t>Essential staffing</t>
  </si>
  <si>
    <t>Absence during a pandemic is likely, but the number and concentration of affected employees are uncertain.</t>
  </si>
  <si>
    <t>Moderate assumes cross-team cover preserves obligations; simultaneous essential-role losses could be Major.</t>
  </si>
  <si>
    <t>Absence forecasts, backup coverage and minimum staffing requirements are not evidenced.</t>
  </si>
  <si>
    <t>Not tolerable provisionally: the assessed event leaves essential work without adequate staffing or specialist coverage. On the explicit assumption that continuity arrangements are inadequate, this exceeds our low tolerance for essential-role gaps. Confirm absence exposure, minimum coverage, trained backups and alternative support; routine absence with adequate cover is not the intolerable event.</t>
  </si>
  <si>
    <t>Sustain essential staffing as part of meeting essential service and policyholder obligations. Business necessity does not itself make the exposure tolerable.</t>
  </si>
  <si>
    <t>Designated HR lead</t>
  </si>
  <si>
    <t>R-016</t>
  </si>
  <si>
    <t>I1-P-03</t>
  </si>
  <si>
    <t>A specialist absence leaves an essential role unfilled</t>
  </si>
  <si>
    <t>Specialist knowledge is concentrated and replacements take time to recruit or train.</t>
  </si>
  <si>
    <t>An essential specialist role cannot be covered when its holder becomes unavailable.</t>
  </si>
  <si>
    <t>Technical or claims work may stop or be materially delayed until capability is restored.</t>
  </si>
  <si>
    <t>Specialist knowledge and continuity</t>
  </si>
  <si>
    <t>A specific unfillable specialist absence is less likely than general workforce absence; role coverage must be checked.</t>
  </si>
  <si>
    <t>Major assumes an essential capability with no workable substitute.</t>
  </si>
  <si>
    <t>Role inventories, trained backups and replacement lead times need verification.</t>
  </si>
  <si>
    <t>Sustain specialist knowledge and continuity as part of meeting essential service and policyholder obligations. Business necessity does not itself make the exposure tolerable.</t>
  </si>
  <si>
    <t>R-017</t>
  </si>
  <si>
    <t>I1-G-02</t>
  </si>
  <si>
    <t>Significant risks are missed or not escalated</t>
  </si>
  <si>
    <t>Risk responsibilities, coordination time or reporting procedures are unclear or not implemented.</t>
  </si>
  <si>
    <t>A material exposure is identified too late or fails to reach the appropriate decision-maker.</t>
  </si>
  <si>
    <t>Protective decisions may be delayed, allowing service, financial or information impacts to worsen.</t>
  </si>
  <si>
    <t>Risk oversight and timely decisions</t>
  </si>
  <si>
    <t>No full-time specialist does not mean no risk ownership. Likelihood depends on implementation of Part 2 responsibilities.</t>
  </si>
  <si>
    <t>Major assumes a missed material exposure. The current staffing structure is not an event with certainty of harm.</t>
  </si>
  <si>
    <t>Evidence of assigned roles, coordination capacity and reporting in operation is needed.</t>
  </si>
  <si>
    <t>Not tolerable if the assumed accountability and escalation gaps persist. No full-time specialist is not itself unacceptable; unclear ownership of material risks is the concern.</t>
  </si>
  <si>
    <t>Sustain risk oversight and timely decisions as part of meeting essential service and policyholder obligations. Business necessity does not itself make the exposure tolerable.</t>
  </si>
  <si>
    <t>R-018</t>
  </si>
  <si>
    <t>I2-T-01</t>
  </si>
  <si>
    <t>Employees lack equipment needed for remote work</t>
  </si>
  <si>
    <t>2.2</t>
  </si>
  <si>
    <t>T</t>
  </si>
  <si>
    <t>Office-based equipment may not be suitable or available for secure home use.</t>
  </si>
  <si>
    <t>Employees cannot perform essential duties remotely because usable equipment is unavailable.</t>
  </si>
  <si>
    <t>Capacity drops and essential services may be delayed during the transition.</t>
  </si>
  <si>
    <t>Equipment and essential staffing</t>
  </si>
  <si>
    <t>Few laptops and office-based equipment suggest likely constraints; desktops may be redeployed, so inability is not certain.</t>
  </si>
  <si>
    <t>Major assumes a sizeable essential-workforce shortfall, not a small procurement delay.</t>
  </si>
  <si>
    <t>Case: existing desktops and laptops. No secure remote-deployment readiness is specified.</t>
  </si>
  <si>
    <t>Available equipment may support redeployment but does not establish that essential staff can work securely from home.</t>
  </si>
  <si>
    <t>Device inventory, secure desktop redeployment and staff access readiness are unverified.</t>
  </si>
  <si>
    <t>Not tolerable under the assumed essential-role equipment shortfall. Redeployable desktops may change this judgment, but continuity cannot rely on unverified access.</t>
  </si>
  <si>
    <t>Sustain equipment and essential staffing as part of meeting essential service and policyholder obligations. Business necessity does not itself make the exposure tolerable.</t>
  </si>
  <si>
    <t>Network Manager</t>
  </si>
  <si>
    <t>Business outline(1).pdf: The case confirms 50 desktops, a couple of laptops and on-site servers (pp. 7–8). Secure remote suitability is unspecified. No internal incident history is verified. Only evidence available by 2020-04-01 can support the initial assessment.</t>
  </si>
  <si>
    <t>R-019</t>
  </si>
  <si>
    <t>I2-E-01</t>
  </si>
  <si>
    <t>Restricted premises access delays essential maintenance</t>
  </si>
  <si>
    <t>Public health restrictions or access arrangements limit physical attendance.</t>
  </si>
  <si>
    <t>Required server or equipment maintenance cannot be completed in time.</t>
  </si>
  <si>
    <t>A fault may persist or worsen, extending disruption to essential services.</t>
  </si>
  <si>
    <t>Premises and technology</t>
  </si>
  <si>
    <t>Restrictions make access delays likely, but approved access routes and remote maintenance options are unknown.</t>
  </si>
  <si>
    <t>Moderate assumes some workarounds remain available; prolonged critical-system loss is assessed separately.</t>
  </si>
  <si>
    <t>Essential access permissions, maintenance coverage and remote support need confirmation.</t>
  </si>
  <si>
    <t>Tolerable as a provisional, limited maintenance-delay scenario if remote support or permitted essential access preserves core services. This assumption is unverified; inability to maintain critical systems would make the exposure not tolerable.</t>
  </si>
  <si>
    <t>Sustain premises and technology as part of meeting essential service and policyholder obligations. Business necessity does not itself make the exposure tolerable.</t>
  </si>
  <si>
    <t>R-020</t>
  </si>
  <si>
    <t>I3-T-01</t>
  </si>
  <si>
    <t>System compromise disrupts operations or damages integrity</t>
  </si>
  <si>
    <t>2.3</t>
  </si>
  <si>
    <t>Insufficient authentication, access safeguards or endpoint protection exposes remote connections.</t>
  </si>
  <si>
    <t>Unauthorized access compromises system integrity or disrupts essential operations.</t>
  </si>
  <si>
    <t>Corrupted systems or records, interrupted workflows and restoration costs may threaten essential service delivery. Customer-information disclosure is assessed separately in R-033.</t>
  </si>
  <si>
    <t>Technology and information security</t>
  </si>
  <si>
    <t>Expanded remote access without credited safeguards creates likely attack exposure; incident probability remains a judgment.</t>
  </si>
  <si>
    <t>Major: substantial operational disruption or damage to system integrity. Severe would require sustained loss of essential operations beyond this base scenario. No customer-disclosure impact is counted here.</t>
  </si>
  <si>
    <t>Case: third-party cloud backup, hosting and security advice. Assessment assumption: firewalls, email scanning and minimum-privilege access operate as basic office safeguards.</t>
  </si>
  <si>
    <t>Basic safeguards may reduce exposure. Their remote-work coverage, integrity protection, monitoring and restoration performance are unverified.</t>
  </si>
  <si>
    <t>Firewall, email scanning and access restriction coverage are reported but not verified for remote work.</t>
  </si>
  <si>
    <t>Not tolerable on the assumed inadequacy of remote safeguards against a major system compromise. Basic office controls do not demonstrate sufficient protection for the changed operating model.</t>
  </si>
  <si>
    <t>Sustain technology and information security as part of meeting essential service and policyholder obligations. Business necessity does not itself make the exposure tolerable.</t>
  </si>
  <si>
    <t>Business outline(1).pdf: The case confirms cloud backup, hosting and security consultants (pp. 6–7). Scope, security configuration and successful recovery are unspecified. No internal incident history is verified. Only evidence available by 2020-04-01 can support the initial assessment.</t>
  </si>
  <si>
    <t>R-021</t>
  </si>
  <si>
    <t>I3-T-02</t>
  </si>
  <si>
    <t>Network capacity degrades service performance</t>
  </si>
  <si>
    <t>Remote demand exceeds network, server or internet capacity. Inadequate capacity testing may leave this limitation unidentified.</t>
  </si>
  <si>
    <t>Essential systems respond too slowly to support normal workloads.</t>
  </si>
  <si>
    <t>Processing queues and customer response times increase, requiring resource reallocation.</t>
  </si>
  <si>
    <t>Network capacity</t>
  </si>
  <si>
    <t>The transition increases traffic through office-oriented infrastructure, making congestion likely without controls.</t>
  </si>
  <si>
    <t>Moderate describes degraded service while obligations remain achievable; full outage is R-022.</t>
  </si>
  <si>
    <t>Load tests, utilization records and capacity thresholds are unavailable.</t>
  </si>
  <si>
    <t>Not tolerable on the assumption that congestion regularly threatens essential workflows and capacity safeguards are inadequate. Minor temporary slowdowns within agreed limits could be tolerable, but that is not the assessed material scenario.</t>
  </si>
  <si>
    <t>Sustain network capacity as part of meeting essential service and policyholder obligations. Business necessity does not itself make the exposure tolerable.</t>
  </si>
  <si>
    <t>R-022</t>
  </si>
  <si>
    <t>I3-T-03</t>
  </si>
  <si>
    <t>A network outage stops essential operations</t>
  </si>
  <si>
    <t>A critical network component or single connection fails without a usable alternative. Inadequate testing may leave overload and failure points unidentified.</t>
  </si>
  <si>
    <t>Claims processing, premium collection and customer support become unavailable.</t>
  </si>
  <si>
    <t>A prolonged outage may prevent delivery of essential services and cause substantial financial and customer harm.</t>
  </si>
  <si>
    <t>Core systems and connectivity</t>
  </si>
  <si>
    <t>Single points of failure make an outage plausible; no outage history supports a more precise probability.</t>
  </si>
  <si>
    <t>Major: loss of IT, telephony or network communications for longer than one day is an explicit case concern (Business outline, p. 3). This can materially interrupt obligations without establishing sustained inability to operate. A prolonged organizational shutdown remains a severe escalation scenario.</t>
  </si>
  <si>
    <t>Failover, recovery tests, outage tolerance and continuity arrangements need confirmation.</t>
  </si>
  <si>
    <t>Not tolerable on the assumed lack of a workable alternative for a material network outage. Essential operations depend on connectivity and sustained interruption is outside the intended service-continuity position.</t>
  </si>
  <si>
    <t>Sustain core systems and connectivity as part of meeting essential service and policyholder obligations. Business necessity does not itself make the exposure tolerable.</t>
  </si>
  <si>
    <t>R-023</t>
  </si>
  <si>
    <t>I3-P-01</t>
  </si>
  <si>
    <t>Limited monitoring capacity delays incident detection</t>
  </si>
  <si>
    <t>IT staffing or coverage does not match monitoring needs.</t>
  </si>
  <si>
    <t>A significant incident remains undetected or unattended outside available coverage.</t>
  </si>
  <si>
    <t>An outage or compromise persists longer, increasing recovery costs and customer harm.</t>
  </si>
  <si>
    <t>IT staffing and detection</t>
  </si>
  <si>
    <t>Six staff alone does not prove a coverage gap; schedules and external monitoring determine exposure.</t>
  </si>
  <si>
    <t>Major assumes delayed detection of a significant incident rather than every after-hours alert.</t>
  </si>
  <si>
    <t>Staff schedules, vendor monitoring and alert escalation coverage are unknown.</t>
  </si>
  <si>
    <t>Not tolerable if a material incident can remain unattended because monitoring coverage is inadequate. Staffing numbers alone do not establish this gap; the decision is conditional on the stated coverage assumption.</t>
  </si>
  <si>
    <t>Sustain it staffing and detection as part of meeting essential service and policyholder obligations. Business necessity does not itself make the exposure tolerable.</t>
  </si>
  <si>
    <t>R-024</t>
  </si>
  <si>
    <t>I3-G-01</t>
  </si>
  <si>
    <t>Untested arrangements fail under load or during recovery</t>
  </si>
  <si>
    <t>Historical classification</t>
  </si>
  <si>
    <t>Consolidated</t>
  </si>
  <si>
    <t>Capacity and recovery tests are absent, inadequate or not acted upon.</t>
  </si>
  <si>
    <t>A critical arrangement fails when stressed or when recovery is required.</t>
  </si>
  <si>
    <t>Disruption lasts longer than expected and essential obligations may be threatened.</t>
  </si>
  <si>
    <t>Assurance of capacity and recovery</t>
  </si>
  <si>
    <t>Untested arrangements create uncertainty, not a certain failure. Demand or recovery activation must also occur.</t>
  </si>
  <si>
    <t>Major reflects failure of a critical arrangement; overlaps with R-021, R-022 and R-027 require review.</t>
  </si>
  <si>
    <t>Test plans, results, remediation and recovery evidence are not documented.</t>
  </si>
  <si>
    <t>Not assessed separately</t>
  </si>
  <si>
    <t>Consolidated, not resolved. Current assessment is held in R-021; R-022; R-025. Original content and ratings remain in source/history sheets.</t>
  </si>
  <si>
    <t>Sustain assurance of capacity and recovery as part of meeting essential service and policyholder obligations. Business necessity does not itself make the exposure tolerable.</t>
  </si>
  <si>
    <t>R-021; R-022; R-025</t>
  </si>
  <si>
    <t>R-025</t>
  </si>
  <si>
    <t>I4-G-02</t>
  </si>
  <si>
    <t>Service restoration exceeds the required timeframe</t>
  </si>
  <si>
    <t>2.4</t>
  </si>
  <si>
    <t>Remote coordination difficulties, unsuitable recovery procedures and untested recovery arrangements impede restoration.</t>
  </si>
  <si>
    <t>Following a service disruption, essential services cannot be restored within the required timeframe.</t>
  </si>
  <si>
    <t>Prolonged outages and backlogs threaten claims handling, premium collection and customer support, increasing costs and customer harm. This assesses recovery performance following a disruption, not the initial failure itself.</t>
  </si>
  <si>
    <t>Staff coordination and recovery</t>
  </si>
  <si>
    <t>Possible: both a disruption and unsuccessful or delayed recovery must occur within the horizon. Remote coordination and untested arrangements support concern, but no recovery performance history is supplied.</t>
  </si>
  <si>
    <t>Proposed Major, increased from Moderate: the consolidated event includes failure of recovery procedures and tests, potentially extending disruption across essential services. The required recovery timeframe still needs definition.</t>
  </si>
  <si>
    <t>Confirm recovery procedures, coordination roles, tested restoration of cloud backups, recovery objectives and evidence of exercises. R-024 recovery-testing and R-027 procedure gaps are incorporated here.</t>
  </si>
  <si>
    <t>Not tolerable on the assumed inability to restore essential services within required timeframes. Cloud backup alone does not prove recoverability; test and procedure weaknesses from consolidated records remain relevant.</t>
  </si>
  <si>
    <t>Sustain staff coordination and recovery as part of meeting essential service and policyholder obligations. Business necessity does not itself make the exposure tolerable.</t>
  </si>
  <si>
    <t>R-026</t>
  </si>
  <si>
    <t>I4-S-01</t>
  </si>
  <si>
    <t>A critical supplier reduces or ends service</t>
  </si>
  <si>
    <t>Supplier staffing, operating restrictions or financial pressure reduce capacity.</t>
  </si>
  <si>
    <t>A provider fails to deliver an essential contracted service.</t>
  </si>
  <si>
    <t>Operations may be interrupted, replacement costs incurred and confidential records or communications left unmanaged.</t>
  </si>
  <si>
    <t>Critical suppliers</t>
  </si>
  <si>
    <t>Pandemic pressure makes supplier disruption plausible; individual provider resilience is unknown.</t>
  </si>
  <si>
    <t>Major assumes an essential service with no ready alternative. Noncritical delays would be lower.</t>
  </si>
  <si>
    <t>Case: third-party service relationships, including backup, hosting, security advice and legal services. No supplier continuity assurance is specified.</t>
  </si>
  <si>
    <t>Access to providers is not proof of resilience. Contracts, alternative capacity and service continuity need assessment.</t>
  </si>
  <si>
    <t>Continuity commitments, alternatives, service monitoring and handover arrangements are unverified.</t>
  </si>
  <si>
    <t>Not tolerable for an essential supplier failure with no workable substitute on the assessed assumption. Routine noncritical supplier delays would warrant a different decision.</t>
  </si>
  <si>
    <t>Sustain critical suppliers as part of meeting essential service and policyholder obligations. Business necessity does not itself make the exposure tolerable.</t>
  </si>
  <si>
    <t>R-027</t>
  </si>
  <si>
    <t>I4-G-01</t>
  </si>
  <si>
    <t>Recovery cannot be coordinated during remote work</t>
  </si>
  <si>
    <t>Crisis and recovery procedures are missing, unsuitable or not implemented for remote operations.</t>
  </si>
  <si>
    <t>The organization cannot coordinate an effective response to a significant disruption.</t>
  </si>
  <si>
    <t>Recovery is prolonged across essential services, threatening obligations and customer confidence.</t>
  </si>
  <si>
    <t>Recovery governance and dependencies</t>
  </si>
  <si>
    <t>A disruption and ineffective coordination must coincide; a missing procedure is not automatically a likely event.</t>
  </si>
  <si>
    <t>Major assumes a substantial delay in recovery; avoid counting the same outage independently several times.</t>
  </si>
  <si>
    <t>Remote recovery procedures, exercises, authority and fallback arrangements need verification.</t>
  </si>
  <si>
    <t>Consolidated, not resolved. Current assessment is held in R-025. Original content and ratings remain in source/history sheets.</t>
  </si>
  <si>
    <t>Sustain recovery governance and dependencies as part of meeting essential service and policyholder obligations. Business necessity does not itself make the exposure tolerable.</t>
  </si>
  <si>
    <t>R-028</t>
  </si>
  <si>
    <t>R1-P-01</t>
  </si>
  <si>
    <t>Claims and enquiries exceed response capacity</t>
  </si>
  <si>
    <t>3.1</t>
  </si>
  <si>
    <t>A surge in claims, related enquiries and coverage disputes exceeds planned processing capacity.</t>
  </si>
  <si>
    <t>Claims-related workloads exceed processing capacity even when planned staffing is available.</t>
  </si>
  <si>
    <t>Claims handling and related responses are delayed, increasing backlogs, complaints and customer harm. Separate from reduced staffing at normal demand in R-035.</t>
  </si>
  <si>
    <t>Claims capacity and customer trust</t>
  </si>
  <si>
    <t>A demand surge is likely, but actual volumes and capacity are not established.</t>
  </si>
  <si>
    <t>Moderate assumes delays can be managed without sustained failure of obligations; severe vulnerable-customer harm would be higher.</t>
  </si>
  <si>
    <t>Case: customer-service roles and digital service channels. Assessment assumption: a customer incentive fund is available.</t>
  </si>
  <si>
    <t>Incentives can assist recovery after a failure but do not prevent workload or staffing disruption.</t>
  </si>
  <si>
    <t>Baseline response times, workloads, service limits and contingency staffing are unverified.</t>
  </si>
  <si>
    <t>Not tolerable if surge demand produces material claims delays beyond the organization’s accepted service position. A customer incentive fund does not address processing capacity. Exact limits remain to be defined.</t>
  </si>
  <si>
    <t>Sustain claims capacity and customer trust as part of meeting essential service and policyholder obligations. Business necessity does not itself make the exposure tolerable.</t>
  </si>
  <si>
    <t>Business outline(1).pdf: The case confirms a small workforce and functional roles (pp. 6–7), but no trained backup or staff-continuity arrangements. The case confirms products, distribution channels and customer-facing systems (pp. 2, 4–5), but not market-research or retention-control operation. No internal incident history is verified. Only evidence available by 2020-04-01 can support the initial assessment.</t>
  </si>
  <si>
    <t>R-029</t>
  </si>
  <si>
    <t>R1-C-01</t>
  </si>
  <si>
    <t>Customers in difficulty receive insensitive treatment</t>
  </si>
  <si>
    <t>Pressure, poor judgment or inappropriate behaviour affects customer interactions.</t>
  </si>
  <si>
    <t>Employees treat financially vulnerable customers insensitively.</t>
  </si>
  <si>
    <t>Complaints and loss of trust may increase, reducing retention and requiring remediation.</t>
  </si>
  <si>
    <t>Fair customer treatment</t>
  </si>
  <si>
    <t>Stress makes inappropriate interactions plausible, but no conduct history establishes likely occurrence.</t>
  </si>
  <si>
    <t>Moderate assumes repeated or meaningful customer impacts, not isolated discourtesy without harm.</t>
  </si>
  <si>
    <t>Case: communication roles and legal services. Assessment assumption: social-media crisis templates are available.</t>
  </si>
  <si>
    <t>Templates and advice may support communication. Accuracy, timely updates and checks across channels are not demonstrated.</t>
  </si>
  <si>
    <t>Communication guidance, training, complaint review and supervisory checks need confirmation.</t>
  </si>
  <si>
    <t>Not tolerable for avoidable insensitive treatment causing meaningful harm to vulnerable customers. Workload pressure does not justify conduct inconsistent with fair treatment.</t>
  </si>
  <si>
    <t>Sustain fair customer treatment as part of meeting essential service and policyholder obligations. Business necessity does not itself make the exposure tolerable.</t>
  </si>
  <si>
    <t>Customer Service Manager</t>
  </si>
  <si>
    <t>Business outline(1).pdf: The case confirms a Marketing Manager, customer-service roles and legal services (pp. 6–7), but not communication templates or approval checks. No internal incident history is verified. Only evidence available by 2020-04-01 can support the initial assessment.</t>
  </si>
  <si>
    <t>R-030</t>
  </si>
  <si>
    <t>R2-G-01</t>
  </si>
  <si>
    <t>Coverage misinformation remains uncorrected</t>
  </si>
  <si>
    <t>3.2</t>
  </si>
  <si>
    <t>Information verification and communication coordination are inadequate.</t>
  </si>
  <si>
    <t>Customers receive or rely on inaccurate or uncorrected information about their insurance coverage.</t>
  </si>
  <si>
    <t>Customers may misunderstand their protection, make poorly informed decisions or dispute claims outcomes, damaging trust and increasing remediation costs.</t>
  </si>
  <si>
    <t>Accurate information and trust</t>
  </si>
  <si>
    <t>Rapid changes and misinformation make confusion plausible; deliberate deception is not assumed.</t>
  </si>
  <si>
    <t>Major assumes material misinformation affecting many customers or important coverage decisions.</t>
  </si>
  <si>
    <t>Crisis templates are reported, but accuracy checks, ownership and misinformation procedures are unverified.</t>
  </si>
  <si>
    <t>Not tolerable for material coverage misinformation leading customers to make harmful decisions. Templates alone do not demonstrate accuracy and effective correction.</t>
  </si>
  <si>
    <t>Sustain accurate information and trust as part of meeting essential service and policyholder obligations. Business necessity does not itself make the exposure tolerable.</t>
  </si>
  <si>
    <t>Underwriting Manager</t>
  </si>
  <si>
    <t>R-031</t>
  </si>
  <si>
    <t>R2-P-01</t>
  </si>
  <si>
    <t>Remote-work stress impairs employee wellbeing</t>
  </si>
  <si>
    <t>Isolation, changed routines and inadequate support increase sustained stress.</t>
  </si>
  <si>
    <t>Employees experience wellbeing difficulties that impair their ability to work safely and effectively.</t>
  </si>
  <si>
    <t>Absence, reduced performance and service delays may occur alongside harm to employees.</t>
  </si>
  <si>
    <t>Employee wellbeing and staffing</t>
  </si>
  <si>
    <t>A sudden transition and isolation make wellbeing difficulties likely, with individual effects uncertain.</t>
  </si>
  <si>
    <t>Moderate assumes material but manageable effects; serious individual harm requires separate consideration.</t>
  </si>
  <si>
    <t>Support availability, workload checks and access to assistance are not evidenced.</t>
  </si>
  <si>
    <t>Not tolerable on the assumption that material employee wellbeing harms persist without adequate support. The need for remote work does not justify leaving this controllable exposure unmanaged.</t>
  </si>
  <si>
    <t>Sustain employee wellbeing and staffing as part of meeting essential service and policyholder obligations. Business necessity does not itself make the exposure tolerable.</t>
  </si>
  <si>
    <t>R-032</t>
  </si>
  <si>
    <t>R3-P-01</t>
  </si>
  <si>
    <t>Workload pressure causes processing and record errors</t>
  </si>
  <si>
    <t>3.3</t>
  </si>
  <si>
    <t>High workloads, unfamiliar tasks and fatigue increase mistakes.</t>
  </si>
  <si>
    <t>Claims or customer records are processed incorrectly or incompletely.</t>
  </si>
  <si>
    <t>Rework, delayed payments, customer harm and failures to evidence obligations may result.</t>
  </si>
  <si>
    <t>Accurate processing and records</t>
  </si>
  <si>
    <t>Pressure during transition makes processing errors likely without credited controls.</t>
  </si>
  <si>
    <t>Moderate assumes remediable errors; systemic or high-value errors could be Major.</t>
  </si>
  <si>
    <t>Audit trails are reported, but prevention, quality checks and error monitoring are unverified.</t>
  </si>
  <si>
    <t>Not tolerable for material processing and record failures where preventive or quality controls are assumed inadequate. Records after the event do not establish acceptable ongoing accuracy.</t>
  </si>
  <si>
    <t>Sustain accurate processing and records as part of meeting essential service and policyholder obligations. Business necessity does not itself make the exposure tolerable.</t>
  </si>
  <si>
    <t>R-033</t>
  </si>
  <si>
    <t>R3-T-01</t>
  </si>
  <si>
    <t>Widespread sensitive customer information is exposed</t>
  </si>
  <si>
    <t>Remote-access or information-handling weaknesses expose sensitive data.</t>
  </si>
  <si>
    <t>Unauthorized access or disclosure exposes sensitive information relating to a substantial number of customers.</t>
  </si>
  <si>
    <t>Widespread sensitive-information exposure may cause serious customer harm, substantial remediation and lasting loss of trust. System disruption alone is assessed under R-020.</t>
  </si>
  <si>
    <t>Customer information and trust</t>
  </si>
  <si>
    <t>Possible within April 1–June 30, 2020 is retained as a provisional judgment. Narrowing the event to widespread serious-harm disclosure does not alone justify a lower likelihood band. Accessible data volumes, safeguards and breach pathways require verification.</t>
  </si>
  <si>
    <t>Severe only for widespread sensitive-data exposure causing serious customer harm. This is not a blanket score for every disclosure and is not justified merely by low appetite.</t>
  </si>
  <si>
    <t>Access restrictions and legal advice are reported; coverage, testing and incident procedures need verification.</t>
  </si>
  <si>
    <t>Not tolerable for the defined widespread serious-harm disclosure scenario on assumed inadequate safeguards. This conclusion concerns the scenario’s consequences and control gaps, not all minor information incidents.</t>
  </si>
  <si>
    <t>Sustain customer information and trust as part of meeting essential service and policyholder obligations. Business necessity does not itself make the exposure tolerable.</t>
  </si>
  <si>
    <t>R-034</t>
  </si>
  <si>
    <t>R3-G-01</t>
  </si>
  <si>
    <t>Applicable obligations are missed</t>
  </si>
  <si>
    <t>Responsibility and procedures for identifying applicable requirements are incomplete.</t>
  </si>
  <si>
    <t>The organization fails to meet an obligation it has not identified or understood.</t>
  </si>
  <si>
    <t>Remediation, regulatory action, customer harm and reputational damage may follow.</t>
  </si>
  <si>
    <t>Compliance knowledge and accountability</t>
  </si>
  <si>
    <t>An unidentified requirement could be missed; actual applicability and evidence of omissions remain uncertain.</t>
  </si>
  <si>
    <t>Major assumes a material obligation. No particular regulator is assumed to supervise every activity.</t>
  </si>
  <si>
    <t>Requirement mapping, legal review scope and compliance ownership need confirmation.</t>
  </si>
  <si>
    <t>Not tolerable if applicable material obligations remain unidentified. Legal services provide a resource but do not establish a complete and effective requirements assessment.</t>
  </si>
  <si>
    <t>Sustain compliance knowledge and accountability as part of meeting essential service and policyholder obligations. Business necessity does not itself make the exposure tolerable.</t>
  </si>
  <si>
    <t>R-035</t>
  </si>
  <si>
    <t>R4-P-01</t>
  </si>
  <si>
    <t>Staff shortages delay routine customer service</t>
  </si>
  <si>
    <t>3.4</t>
  </si>
  <si>
    <t>Absence or vacancies reduce staff available for normal customer-facing workloads.</t>
  </si>
  <si>
    <t>Customer support, policy administration and other customer-facing services cannot be maintained even at normal demand.</t>
  </si>
  <si>
    <t>Routine services are interrupted or delayed, reducing service quality and retention. This may compound the demand-driven claims pressure in R-028 but is independently possible.</t>
  </si>
  <si>
    <t>Customer service staffing</t>
  </si>
  <si>
    <t>Reduced staffing during pandemic disruption makes routine delays likely.</t>
  </si>
  <si>
    <t>Moderate assumes manageable delays. Keep distinct from R-028 only if routine service scope is meaningful.</t>
  </si>
  <si>
    <t>Service coverage, queue monitoring and minimum staffing arrangements need verification.</t>
  </si>
  <si>
    <t>Not tolerable on the assumed inability to cover essential customer-service roles at normal demand. Minor delays within accepted limits would be assessed differently.</t>
  </si>
  <si>
    <t>Sustain customer service staffing as part of meeting essential service and policyholder obligations. Business necessity does not itself make the exposure tolerable.</t>
  </si>
  <si>
    <t>R-036</t>
  </si>
  <si>
    <t>R4-G-01</t>
  </si>
  <si>
    <t>Service expectations are communicated unclearly</t>
  </si>
  <si>
    <t>Communication procedures do not keep service timelines, availability and support-channel information consistent.</t>
  </si>
  <si>
    <t>Customers receive unclear or inconsistent information about service availability, processing times or how to access support.</t>
  </si>
  <si>
    <t>Unmet expectations, repeated enquiries and complaints increase service pressure and reduce confidence. Coverage accuracy is assessed in R-030.</t>
  </si>
  <si>
    <t>Consistent service communication</t>
  </si>
  <si>
    <t>Multiple channels and changing conditions make inconsistent messages plausible.</t>
  </si>
  <si>
    <t>Moderate assumes remediable confusion; material coverage misinformation is assessed in R-030.</t>
  </si>
  <si>
    <t>Message approval, service updates and consistency checks are unverified.</t>
  </si>
  <si>
    <t>Not tolerable where assumed communication gaps repeatedly create material unmet expectations and customer harm. A low-impact isolated misunderstanding is outside this scenario.</t>
  </si>
  <si>
    <t>Sustain consistent service communication as part of meeting essential service and policyholder obligations. Business necessity does not itself make the exposure tolerable.</t>
  </si>
  <si>
    <t>R-037</t>
  </si>
  <si>
    <t>M1-E-01</t>
  </si>
  <si>
    <t>Households reduce or cancel coverage</t>
  </si>
  <si>
    <t>4.1</t>
  </si>
  <si>
    <t>Income loss and financial uncertainty reduce customers' ability to pay. Delayed or insufficient public assistance may prolong household affordability pressure.</t>
  </si>
  <si>
    <t>Individual customers defer payments, reduce cover or cancel policies.</t>
  </si>
  <si>
    <t>Premium income and retention decline, weakening funds available for operations.</t>
  </si>
  <si>
    <t>Premium income and customer retention</t>
  </si>
  <si>
    <t>Pandemic-related income pressure makes some reductions likely; portfolio-specific lapse rates are unknown. Public assistance may affect the duration of pressure; no particular program or eligibility is assumed.</t>
  </si>
  <si>
    <t>Moderate assumes losses are manageable across the book; widespread lapse would be more severe.</t>
  </si>
  <si>
    <t>Assessment assumption: financial modelling, market research and customer incentives operate. None is specified as a tested control in the case.</t>
  </si>
  <si>
    <t>These may support adaptation and retention, but cannot prevent customers’ financial difficulties or prove revenue resilience.</t>
  </si>
  <si>
    <t>Lapse forecasts, affordability arrangements and retention effectiveness need confirmation.</t>
  </si>
  <si>
    <t>Tolerable provisionally as an unavoidable, moderate commercial exposure to household affordability pressure, assuming premium losses remain within financial capacity and customers are treated appropriately. This assumption must be tested against portfolio forecasts. Assess combined premium-income effects across R-037, R-038 and R-040; individual affordability does not establish aggregate capacity.</t>
  </si>
  <si>
    <t>Sustain premium income and customer retention as part of meeting essential service and policyholder obligations. Business necessity does not itself make the exposure tolerable.</t>
  </si>
  <si>
    <t>Marketing Manager</t>
  </si>
  <si>
    <t>Business outline(1).pdf: The case confirms products, distribution channels and customer-facing systems (pp. 2, 4–5), but not market-research or retention-control operation. No internal incident history is verified. Only evidence available by 2020-04-01 can support the initial assessment.</t>
  </si>
  <si>
    <t>R-038</t>
  </si>
  <si>
    <t>M1-E-02</t>
  </si>
  <si>
    <t>Small-business clients reduce, defer or cancel coverage</t>
  </si>
  <si>
    <t>Pandemic revenue losses or closures reduce small-business clients’ ability to fund premiums. Delayed or insufficient public assistance may prolong this pressure.</t>
  </si>
  <si>
    <t>Small-business clients defer premium payments, reduce coverage or cancel policies.</t>
  </si>
  <si>
    <t>Premium income and customer retention decline. Business-client cover is confirmed as a segment, but particular policy types and coverage terms are unspecified.</t>
  </si>
  <si>
    <t>Customer affordability and premium income</t>
  </si>
  <si>
    <t>Possible: the case confirms more than 100 small-business clients (Business outline, p. 2). Revenue disruption could affect their payments; concentration, premium value and actual lapse rates are unknown.</t>
  </si>
  <si>
    <t>Moderate provisional judgment: a meaningful segment may be affected, but its premium share is not supplied. Do not substitute business owners’ personal policies for the confirmed business-client segment.</t>
  </si>
  <si>
    <t>Confirm business-client premium exposure, policy terms and affordability arrangements. Do not assume business-interruption cover or public-program eligibility.</t>
  </si>
  <si>
    <t>Tolerable provisionally as moderate exposure to the confirmed small-business segment, assuming reductions do not threaten financial capacity and treatment of customers remains appropriate. The segment’s premium concentration is unverified. Assess combined premium-income effects across R-037, R-038 and R-040; individual affordability does not establish aggregate capacity.</t>
  </si>
  <si>
    <t>Sustain customer affordability and premium income as part of meeting essential service and policyholder obligations. Business necessity does not itself make the exposure tolerable.</t>
  </si>
  <si>
    <t>R-039</t>
  </si>
  <si>
    <t>M1-E-03</t>
  </si>
  <si>
    <t>Travel demand and auto premium income fall</t>
  </si>
  <si>
    <t>Travel restrictions and reduced driving change insurance needs and expectations.</t>
  </si>
  <si>
    <t>Travel sales decline sharply and auto customers seek lower premiums or reduced cover.</t>
  </si>
  <si>
    <t>Revenue and product mix deteriorate, potentially requiring significant resource adjustment.</t>
  </si>
  <si>
    <t>Product revenue and diversification</t>
  </si>
  <si>
    <t>These demand changes are highly plausible at pandemic onset; exact timing and size remain assumptions.</t>
  </si>
  <si>
    <t>Major assumes material concentration in affected lines. Travel sales are not assumed to stop entirely.</t>
  </si>
  <si>
    <t>Product forecasts, revenue sensitivity and retention measures are unverified.</t>
  </si>
  <si>
    <t>Awaiting assessment: the case does not quantify the exposure and available financial capacity sufficiently to decide whether the remaining risk fits appetite. Product forecasts, revenue sensitivity and retention measures are unverified. Continued operations require this assessment; a High or Extreme inherent rating alone is not a tolerability decision.</t>
  </si>
  <si>
    <t>Sustain product revenue and diversification as part of meeting essential service and policyholder obligations. Business necessity does not itself make the exposure tolerable.</t>
  </si>
  <si>
    <t>R-040</t>
  </si>
  <si>
    <t>M2-E-01</t>
  </si>
  <si>
    <t>Competitors attract price-sensitive customers</t>
  </si>
  <si>
    <t>4.2</t>
  </si>
  <si>
    <t>Competing insurers offer appealing prices or terms during financial uncertainty.</t>
  </si>
  <si>
    <t>Customers switch away from ITrustU.</t>
  </si>
  <si>
    <t>Premium income and retention decline, increasing acquisition pressure.</t>
  </si>
  <si>
    <t>Competitive offer and retention</t>
  </si>
  <si>
    <t>Switching is plausible, but no competitive pricing or retention evidence supports a higher estimate.</t>
  </si>
  <si>
    <t>Moderate assumes manageable customer losses rather than a sustained loss of market position.</t>
  </si>
  <si>
    <t>Market research is reported; pricing intelligence and resulting decisions need verification.</t>
  </si>
  <si>
    <t>Tolerable provisionally as moderate competitive customer loss while continuing to offer insurance, assuming loss remains within financial capacity. Market research supports awareness but does not guarantee retention. Assess combined premium-income effects across R-037, R-038 and R-040; individual affordability does not establish aggregate capacity.</t>
  </si>
  <si>
    <t>Sustain competitive offer and retention as part of meeting essential service and policyholder obligations. Business necessity does not itself make the exposure tolerable.</t>
  </si>
  <si>
    <t>R-041</t>
  </si>
  <si>
    <t>M3-E-01</t>
  </si>
  <si>
    <t>Market volatility reduces asset values and income</t>
  </si>
  <si>
    <t>4.3</t>
  </si>
  <si>
    <t>Economic disruption affects the value and income of Canadian investments.</t>
  </si>
  <si>
    <t>The portfolio suffers material losses or reduced investment income.</t>
  </si>
  <si>
    <t>Financial capacity and funding of obligations weaken, with possible forced sales and longer-term effects.</t>
  </si>
  <si>
    <t>Investment performance and funding</t>
  </si>
  <si>
    <t>Material portfolio deterioration is likely in stressed markets but depends on holdings; not all assets must fall together.</t>
  </si>
  <si>
    <t>Major assumes a meaningful portfolio loss. Interest-rate liability effects are separately assessed in R-012.</t>
  </si>
  <si>
    <t>Portfolio exposures, stress tests and financial resilience are unverified.</t>
  </si>
  <si>
    <t>Awaiting assessment: the case does not quantify the exposure and available financial capacity sufficiently to decide whether the remaining risk fits appetite. Portfolio exposures, stress tests and financial resilience are unverified. Continued operations require this assessment; a High or Extreme inherent rating alone is not a tolerability decision.</t>
  </si>
  <si>
    <t>Sustain investment performance and funding as part of meeting essential service and policyholder obligations. Business necessity does not itself make the exposure tolerable.</t>
  </si>
  <si>
    <t>R-042</t>
  </si>
  <si>
    <t>I4-S-02</t>
  </si>
  <si>
    <t>Nonfinancial support sought from Tiva is unavailable</t>
  </si>
  <si>
    <t>Competing demands across Tiva constrain specialist expertise, technical assistance or independent review.</t>
  </si>
  <si>
    <t>Nonfinancial support sought from Tiva is unavailable or delayed when needed.</t>
  </si>
  <si>
    <t>Risk assessment or operational improvements may be delayed while ITrustU uses internal capacity or seeks alternatives. Committed support or essential dependence is not assumed. Financial support is R-002.</t>
  </si>
  <si>
    <t>Group support and strategic flexibility</t>
  </si>
  <si>
    <t>Group pressure is plausible, but no group financial evidence supports a firm assessment.</t>
  </si>
  <si>
    <t>Proposed Moderate: unavailable advisory or technical help creates coordination and resourcing pressures, but no essential dependence is confirmed. Major would require evidence that missing expertise threatens essential obligations.</t>
  </si>
  <si>
    <t>Confirm the support sought, internal skills and alternative providers. Review proposed relocation from M3 to I4 for nonfinancial provider continuity.</t>
  </si>
  <si>
    <t>Tolerable provisionally only on the assumption that internal capability or alternative specialists can sustain essential work without Tiva assistance. If essential dependence is established, reassess magnitude and tolerability.</t>
  </si>
  <si>
    <t>Sustain group support and strategic flexibility as part of meeting essential service and policyholder obligations. Business necessity does not itself make the exposure tolerable.</t>
  </si>
  <si>
    <t>R-043</t>
  </si>
  <si>
    <t>M3-E-03</t>
  </si>
  <si>
    <t>Delayed public support prolongs customer affordability pressure</t>
  </si>
  <si>
    <t>Relief delivery delays, eligibility limits or processing problems affect customers.</t>
  </si>
  <si>
    <t>Customers do not receive expected public support in time to maintain insurance payments.</t>
  </si>
  <si>
    <t>Arrears, coverage reductions and cancellations increase.</t>
  </si>
  <si>
    <t>Customer income and premium continuity</t>
  </si>
  <si>
    <t>Support may be delayed or unavailable, but specific programs and eligibility cannot be assumed at an unspecified onset date.</t>
  </si>
  <si>
    <t>Moderate assumes a material customer segment is affected. This is a driver of R-037 and R-038.</t>
  </si>
  <si>
    <t>Confirm scenario date, relevant programs and whether this warrants a separate risk record.</t>
  </si>
  <si>
    <t>Consolidated, not resolved. Current assessment is held in R-037; R-038. Original content and ratings remain in source/history sheets.</t>
  </si>
  <si>
    <t>Sustain customer income and premium continuity as part of meeting essential service and policyholder obligations. Business necessity does not itself make the exposure tolerable.</t>
  </si>
  <si>
    <t>R-037; R-038</t>
  </si>
  <si>
    <t>R-044</t>
  </si>
  <si>
    <t>M4-S-01</t>
  </si>
  <si>
    <t>Repair and material shortages delay claims settlement</t>
  </si>
  <si>
    <t>4.4</t>
  </si>
  <si>
    <t>Supplier disruption restricts labour, parts, inspections or construction materials.</t>
  </si>
  <si>
    <t>Covered repairs take longer or cost more than expected.</t>
  </si>
  <si>
    <t>Claims costs and settlement times rise, reducing margins and customer satisfaction.</t>
  </si>
  <si>
    <t>Claims supply chain</t>
  </si>
  <si>
    <t>Pandemic restrictions make repair disruption likely, but supplier and claim-volume evidence is limited.</t>
  </si>
  <si>
    <t>Moderate assumes manageable increases. Widespread cost escalation may be Major.</t>
  </si>
  <si>
    <t>Repair capacity, cost forecasts, alternatives and settlement arrangements are unverified.</t>
  </si>
  <si>
    <t>Tolerable provisionally for manageable repair delays and cost increases, assuming essential settlement obligations remain achievable and financial capacity can absorb the change. Severe shortages or unacceptable customer harm would overturn this decision.</t>
  </si>
  <si>
    <t>Sustain claims supply chain as part of meeting essential service and policyholder obligations. Business necessity does not itself make the exposure tolerable.</t>
  </si>
  <si>
    <t>R-045</t>
  </si>
  <si>
    <t>M2-G-01</t>
  </si>
  <si>
    <t>Online services fail to meet customer expectations</t>
  </si>
  <si>
    <t>Digital service design and investment do not keep pace with changing customer needs.</t>
  </si>
  <si>
    <t>Customers find ITrustU's online services insufficient and choose competitors.</t>
  </si>
  <si>
    <t>New business and retention decline, weakening market position and premium income.</t>
  </si>
  <si>
    <t>Digital customer experience</t>
  </si>
  <si>
    <t>A rapid shift online makes a capability mismatch likely, but customer research is needed.</t>
  </si>
  <si>
    <t>Moderate assumes manageable losses. Network outages and capacity are assessed separately in Infrastructure.</t>
  </si>
  <si>
    <t>Market research is reported; digital capability assessments and customer evidence need verification.</t>
  </si>
  <si>
    <t>Not tolerable on the assumption that a material digital-capability gap persistently undermines essential customer access and retention. Research without appropriate service capability does not address the exposure.</t>
  </si>
  <si>
    <t>Sustain digital customer experience as part of meeting essential service and policyholder obligations. Business necessity does not itself make the exposure tolerable.</t>
  </si>
  <si>
    <t>Assessment criteria</t>
  </si>
  <si>
    <t>Assess event likelihood over the initial three months and the full credible consequences. Inherent ratings are assessed before credit for controls.</t>
  </si>
  <si>
    <t>Likelihood / Magnitude</t>
  </si>
  <si>
    <t>Score</t>
  </si>
  <si>
    <t>Three-month probability</t>
  </si>
  <si>
    <t>Rare</t>
  </si>
  <si>
    <t>Less than 5%</t>
  </si>
  <si>
    <t>Unlikely</t>
  </si>
  <si>
    <t>5% to less than 20%</t>
  </si>
  <si>
    <t>Possible</t>
  </si>
  <si>
    <t>20% to less than 50%</t>
  </si>
  <si>
    <t>Likely</t>
  </si>
  <si>
    <t>50% to less than 80%</t>
  </si>
  <si>
    <t>Almost certain</t>
  </si>
  <si>
    <t>80% or greater</t>
  </si>
  <si>
    <t>Meaning</t>
  </si>
  <si>
    <t>Insignificant</t>
  </si>
  <si>
    <t>Minor effects handled through routine work, with negligible financial loss or disruption and no meaningful customer harm.</t>
  </si>
  <si>
    <t>Minor</t>
  </si>
  <si>
    <t>Limited loss, disruption or complaints managed by the affected team without materially affecting essential services or obligations.</t>
  </si>
  <si>
    <t>Noticeable impacts require coordination and some resource reallocation. Essential obligations remain achievable.</t>
  </si>
  <si>
    <t>Major</t>
  </si>
  <si>
    <t>Substantial losses, prolonged disruption, serious information exposure or damage to confidence threaten essential obligations and require significant management intervention.</t>
  </si>
  <si>
    <t>Severe</t>
  </si>
  <si>
    <t>Consequences threaten organizational viability or sustained essential services, or cause widespread serious customer harm.</t>
  </si>
  <si>
    <t>Source</t>
  </si>
  <si>
    <t>Label</t>
  </si>
  <si>
    <t>Primary cause</t>
  </si>
  <si>
    <t>People</t>
  </si>
  <si>
    <t>Staff capacity, skills, availability or unintentional human error.</t>
  </si>
  <si>
    <t>Technology</t>
  </si>
  <si>
    <t>Technical capacity, reliability or security weakness.</t>
  </si>
  <si>
    <t>Suppliers and third parties</t>
  </si>
  <si>
    <t>Failure or limitation of a separate provider or group support entity.</t>
  </si>
  <si>
    <t>External Conditions</t>
  </si>
  <si>
    <t>Economic, public-health, weather or other external conditions.</t>
  </si>
  <si>
    <t>Governance and Processes</t>
  </si>
  <si>
    <t>Weak accountability, procedure design, oversight or work organization.</t>
  </si>
  <si>
    <t>Conduct</t>
  </si>
  <si>
    <t>Deliberate deception, inappropriate behaviour or failure to follow established procedures.</t>
  </si>
  <si>
    <t>Use the highest credible consequence across FIRM, with a stated scenario. Appetite alone does not determine magnitude.</t>
  </si>
  <si>
    <t>Probability bands are judgment categories, not measured forecasts. Missing information does not by itself justify a likelihood score.</t>
  </si>
  <si>
    <t>Assess whether the event occurs from April 1 through June 30, 2020. Include consequences beyond that window. Introduce later evidence through dated reviews.</t>
  </si>
  <si>
    <t>Locate the category at the likelihood row and magnitude column. Do not multiply scores. Tolerability also considers controls, appetite, controllability and business necessity.</t>
  </si>
  <si>
    <t>Distinguish confirmed arrangements, assessment assumptions, undocumented controls and proposed improvements. Existence does not establish effectiveness.</t>
  </si>
  <si>
    <t>Each active risk has one proposed accountable organizational role; actual individuals remain to be designated.</t>
  </si>
  <si>
    <t>Consolidated records retain permanent IDs and links but are excluded from active counts. Consolidation does not mean resolution.</t>
  </si>
  <si>
    <t>Tolerable conclusions are conditional. Not tolerable requires treatment and management attention. Any temporary continuation needs appropriate authorization, interim safeguards and review.</t>
  </si>
  <si>
    <t>Awaiting assessment is an unresolved decision, not acceptance. Financial exposures must be considered together, including simultaneous claims, premium-income and investment pressure.</t>
  </si>
  <si>
    <t>Using the risk register</t>
  </si>
  <si>
    <t>Topic</t>
  </si>
  <si>
    <t>Instructions</t>
  </si>
  <si>
    <t>Scope</t>
  </si>
  <si>
    <t>This register records current risk identification, assessment, tolerability and existing controls. Detailed response implementation is maintained separately.</t>
  </si>
  <si>
    <t>Navigation</t>
  </si>
  <si>
    <t>Overview summarizes exposure. Record View displays one selected risk. RiskRegister contains editable records. Assessment Guide defines the criteria.</t>
  </si>
  <si>
    <t>Assessment date</t>
  </si>
  <si>
    <t>The initial assessment is as of April 1, 2020, with an event-likelihood horizon through June 30, 2020. Full consequences may extend beyond that period.</t>
  </si>
  <si>
    <t>References</t>
  </si>
  <si>
    <t>Record IDs are permanent. Risk Codes classify FIRM item, primary cause and sequence. Codes do not indicate severity. Never reuse retired IDs or codes.</t>
  </si>
  <si>
    <t>Consolidated records</t>
  </si>
  <si>
    <t>R-024 links to R-021, R-022 and R-025; R-027 to R-025; R-043 to R-037 and R-038. Retain these links and exclude consolidated entries from active totals.</t>
  </si>
  <si>
    <t>Ratings</t>
  </si>
  <si>
    <t>Likelihood and magnitude are inherent judgments before credit for controls. Use the categorical matrix, without multiplication. Related risks may arise from the same incident and must not be summed as independent losses.</t>
  </si>
  <si>
    <t>Consider remaining exposure, controls, appetite, controllability and business necessity. Conditional tolerability remains subject to its stated assumptions. Awaiting assessment is not acceptance.</t>
  </si>
  <si>
    <t>Evidence</t>
  </si>
  <si>
    <t>Business outline(1).pdf provides the initial organizational facts; relevant page references remain in each record. Assessment assumptions and unverified controls are explicitly identified.</t>
  </si>
  <si>
    <t>A supplier relationship, backup or written procedure does not itself demonstrate effectiveness. Proposed improvements must not be treated as operating controls.</t>
  </si>
  <si>
    <t>Ownership</t>
  </si>
  <si>
    <t>One accountable role is proposed for each active risk. Actual individuals and formal appointments remain to be confirmed.</t>
  </si>
  <si>
    <t>Editing</t>
  </si>
  <si>
    <t>Edit RiskRegister. Columns N and O contain likelihood and magnitude inputs; P calculates the matrix category. Overview and Record View are formula views.</t>
  </si>
  <si>
    <t>Adding risks</t>
  </si>
  <si>
    <t>Append within RiskRegisterTable, copy the rating formula and validation, then extend Overview and Record View ranges and the Record ID dropdown. Current formulas cover rows 6–49 and do not automatically include unlimited new rows.</t>
  </si>
  <si>
    <t>Review and escalation</t>
  </si>
  <si>
    <t>Use weekly reviews during the first three months and additional reviews after significant incidents or changes. Urgent incidents and anticipated breaches require immediate escalation under the Risk Protocols.</t>
  </si>
  <si>
    <t>Change control</t>
  </si>
  <si>
    <t>Retain prior assessment versions and document approved changes through the Risk Protocols. This workbook presents current assessments and is not a complete historical change database.</t>
  </si>
  <si>
    <t>FIRM terminology</t>
  </si>
  <si>
    <t>Marketing corresponds to Marketplace. Index items run from 1.1 to 4.4. Source G means Governance and Processes; C means Conduct.</t>
  </si>
  <si>
    <t>Outstanding evidence</t>
  </si>
  <si>
    <t>Eleven financial assessments remain unresolved. Confirm exposures, cash forecasts, reserves, investment sensitivity and applicable reinsurance, including combined stress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</si>
</sst>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name val="Carlito"/>
    </font>
    <font>
      <sz val="11"/>
      <name val="Arial"/>
    </font>
    <font>
      <b/>
      <sz val="17"/>
      <name val="Arial"/>
    </font>
    <font>
      <b/>
      <sz val="11"/>
      <color rgb="FFFFFFFF"/>
      <name val="Arial"/>
    </font>
    <font>
      <b/>
      <sz val="48"/>
      <name val="Arial"/>
      <family val="2"/>
    </font>
  </fonts>
  <fills count="10">
    <fill>
      <patternFill patternType="none"/>
    </fill>
    <fill>
      <patternFill patternType="gray125"/>
    </fill>
    <fill>
      <patternFill patternType="solid">
        <fgColor rgb="FF383838"/>
      </patternFill>
    </fill>
    <fill>
      <patternFill patternType="solid">
        <fgColor rgb="FFFFF2CC"/>
      </patternFill>
    </fill>
    <fill>
      <patternFill patternType="solid">
        <fgColor rgb="FFF2F2F2"/>
      </patternFill>
    </fill>
    <fill>
      <patternFill patternType="solid">
        <fgColor rgb="FFEDA6A1"/>
        <bgColor indexed="64"/>
      </patternFill>
    </fill>
    <fill>
      <patternFill patternType="solid">
        <fgColor theme="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164" fontId="1" fillId="0" borderId="0" xfId="0" applyNumberFormat="1" applyFont="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164" fontId="1" fillId="4" borderId="0" xfId="0" applyNumberFormat="1"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164" fontId="1" fillId="6" borderId="0" xfId="0" applyNumberFormat="1" applyFont="1" applyFill="1" applyAlignment="1">
      <alignment vertical="top" wrapText="1"/>
    </xf>
    <xf numFmtId="0" fontId="1" fillId="7" borderId="0" xfId="0" applyFont="1" applyFill="1" applyAlignment="1">
      <alignment vertical="top" wrapText="1"/>
    </xf>
    <xf numFmtId="0" fontId="1" fillId="8" borderId="0" xfId="0" applyFont="1" applyFill="1" applyAlignment="1">
      <alignment vertical="top" wrapText="1"/>
    </xf>
    <xf numFmtId="0" fontId="1" fillId="9" borderId="0" xfId="0" applyFont="1" applyFill="1" applyAlignment="1">
      <alignment vertical="top" wrapText="1"/>
    </xf>
    <xf numFmtId="0" fontId="1" fillId="0" borderId="0" xfId="0" applyFont="1" applyAlignment="1">
      <alignment vertical="top" wrapText="1"/>
    </xf>
    <xf numFmtId="0" fontId="1" fillId="0" borderId="0" xfId="0" applyFont="1" applyAlignment="1">
      <alignment horizontal="center" vertical="top" wrapText="1"/>
    </xf>
    <xf numFmtId="0" fontId="2" fillId="0" borderId="0" xfId="0" applyFont="1" applyAlignment="1">
      <alignment horizontal="center" vertical="top" wrapText="1"/>
    </xf>
    <xf numFmtId="0" fontId="1" fillId="0" borderId="0" xfId="0" applyFont="1" applyAlignment="1">
      <alignment horizontal="left" vertical="top" wrapText="1"/>
    </xf>
    <xf numFmtId="0" fontId="4"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colors>
    <mruColors>
      <color rgb="FFEDA6A1"/>
      <color rgb="FFFFFFCC"/>
      <color rgb="FFCC31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RegisterTable" displayName="RiskRegisterTable" ref="A5:AH49" totalsRowShown="0">
  <tableColumns count="34">
    <tableColumn id="1" xr3:uid="{00000000-0010-0000-0000-000001000000}" name="Record ID"/>
    <tableColumn id="2" xr3:uid="{00000000-0010-0000-0000-000002000000}" name="Risk Code"/>
    <tableColumn id="3" xr3:uid="{00000000-0010-0000-0000-000003000000}" name="Risk title"/>
    <tableColumn id="4" xr3:uid="{00000000-0010-0000-0000-000004000000}" name="FIRM area"/>
    <tableColumn id="5" xr3:uid="{00000000-0010-0000-0000-000005000000}" name="Index item"/>
    <tableColumn id="6" xr3:uid="{00000000-0010-0000-0000-000006000000}" name="Primary source"/>
    <tableColumn id="7" xr3:uid="{00000000-0010-0000-0000-000007000000}" name="Classification status"/>
    <tableColumn id="8" xr3:uid="{00000000-0010-0000-0000-000008000000}" name="Assessment status"/>
    <tableColumn id="9" xr3:uid="{00000000-0010-0000-0000-000009000000}" name="Cause or trigger"/>
    <tableColumn id="10" xr3:uid="{00000000-0010-0000-0000-00000A000000}" name="Risk event"/>
    <tableColumn id="11" xr3:uid="{00000000-0010-0000-0000-00000B000000}" name="Potential impact"/>
    <tableColumn id="12" xr3:uid="{00000000-0010-0000-0000-00000C000000}" name="Objective or dependency"/>
    <tableColumn id="13" xr3:uid="{00000000-0010-0000-0000-00000D000000}" name="Likelihood horizon"/>
    <tableColumn id="14" xr3:uid="{00000000-0010-0000-0000-00000E000000}" name="Likelihood"/>
    <tableColumn id="15" xr3:uid="{00000000-0010-0000-0000-00000F000000}" name="Magnitude"/>
    <tableColumn id="16" xr3:uid="{00000000-0010-0000-0000-000010000000}" name="Inherent rating"/>
    <tableColumn id="17" xr3:uid="{00000000-0010-0000-0000-000011000000}" name="Likelihood reasoning"/>
    <tableColumn id="18" xr3:uid="{00000000-0010-0000-0000-000012000000}" name="Magnitude reasoning"/>
    <tableColumn id="19" xr3:uid="{00000000-0010-0000-0000-000013000000}" name="Existing controls"/>
    <tableColumn id="20" xr3:uid="{00000000-0010-0000-0000-000014000000}" name="Control evidence status"/>
    <tableColumn id="21" xr3:uid="{00000000-0010-0000-0000-000015000000}" name="Control effectiveness"/>
    <tableColumn id="22" xr3:uid="{00000000-0010-0000-0000-000016000000}" name="Control gap or evidence needed"/>
    <tableColumn id="23" xr3:uid="{00000000-0010-0000-0000-000017000000}" name="Tolerability"/>
    <tableColumn id="24" xr3:uid="{00000000-0010-0000-0000-000018000000}" name="Tolerability reasoning"/>
    <tableColumn id="25" xr3:uid="{00000000-0010-0000-0000-000019000000}" name="Controllability"/>
    <tableColumn id="26" xr3:uid="{00000000-0010-0000-0000-00001A000000}" name="Business imperative"/>
    <tableColumn id="27" xr3:uid="{00000000-0010-0000-0000-00001B000000}" name="Longer-term exposure"/>
    <tableColumn id="28" xr3:uid="{00000000-0010-0000-0000-00001C000000}" name="Risk owner"/>
    <tableColumn id="29" xr3:uid="{00000000-0010-0000-0000-00001D000000}" name="Evidence and experience"/>
    <tableColumn id="30" xr3:uid="{00000000-0010-0000-0000-00001E000000}" name="Record status"/>
    <tableColumn id="31" xr3:uid="{00000000-0010-0000-0000-00001F000000}" name="Consolidated into"/>
    <tableColumn id="32" xr3:uid="{00000000-0010-0000-0000-000020000000}" name="Assessment as of"/>
    <tableColumn id="33" xr3:uid="{00000000-0010-0000-0000-000021000000}" name="Horizon end"/>
    <tableColumn id="34" xr3:uid="{00000000-0010-0000-0000-000022000000}" name="Owner design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showGridLines="0" workbookViewId="0"/>
  </sheetViews>
  <sheetFormatPr defaultRowHeight="14.25"/>
  <cols>
    <col min="1" max="1" width="45" customWidth="1"/>
    <col min="2" max="3" width="22" customWidth="1"/>
    <col min="4" max="4" width="4" customWidth="1"/>
    <col min="5" max="5" width="30" customWidth="1"/>
    <col min="6" max="6" width="20" customWidth="1"/>
  </cols>
  <sheetData>
    <row r="1" spans="1:6">
      <c r="A1" s="1"/>
      <c r="B1" s="1"/>
      <c r="C1" s="1"/>
      <c r="D1" s="1"/>
      <c r="E1" s="1"/>
      <c r="F1" s="1"/>
    </row>
    <row r="2" spans="1:6" ht="21.75">
      <c r="A2" s="2" t="s">
        <v>0</v>
      </c>
      <c r="B2" s="1"/>
      <c r="C2" s="1"/>
      <c r="D2" s="1"/>
      <c r="E2" s="1"/>
      <c r="F2" s="1"/>
    </row>
    <row r="3" spans="1:6">
      <c r="A3" s="14" t="s">
        <v>1</v>
      </c>
      <c r="B3" s="14"/>
      <c r="C3" s="14"/>
      <c r="D3" s="14"/>
      <c r="E3" s="14"/>
      <c r="F3" s="14"/>
    </row>
    <row r="4" spans="1:6">
      <c r="A4" s="1"/>
      <c r="B4" s="1"/>
      <c r="C4" s="1"/>
      <c r="D4" s="1"/>
      <c r="E4" s="1"/>
      <c r="F4" s="1"/>
    </row>
    <row r="5" spans="1:6" ht="38.1" customHeight="1">
      <c r="A5" s="3" t="s">
        <v>2</v>
      </c>
      <c r="B5" s="3" t="s">
        <v>3</v>
      </c>
      <c r="C5" s="1"/>
      <c r="D5" s="1"/>
      <c r="E5" s="3" t="s">
        <v>4</v>
      </c>
      <c r="F5" s="3" t="s">
        <v>3</v>
      </c>
    </row>
    <row r="6" spans="1:6" ht="32.1" customHeight="1">
      <c r="A6" s="1" t="s">
        <v>5</v>
      </c>
      <c r="B6" s="1">
        <f>COUNTIF(RiskRegister!AD6:AD49,"Active")</f>
        <v>41</v>
      </c>
      <c r="C6" s="1"/>
      <c r="D6" s="1"/>
      <c r="E6" s="1" t="s">
        <v>6</v>
      </c>
      <c r="F6" s="1">
        <f>COUNTIF(RiskRegister!P6:P49,E6)</f>
        <v>0</v>
      </c>
    </row>
    <row r="7" spans="1:6" ht="32.1" customHeight="1">
      <c r="A7" s="1" t="s">
        <v>7</v>
      </c>
      <c r="B7" s="1">
        <f>COUNTIFS(RiskRegister!AD6:AD49,"Active",RiskRegister!W6:W49,"Awaiting assessment")</f>
        <v>11</v>
      </c>
      <c r="C7" s="1"/>
      <c r="D7" s="1"/>
      <c r="E7" s="1" t="s">
        <v>8</v>
      </c>
      <c r="F7" s="1">
        <f>COUNTIF(RiskRegister!P6:P49,E7)</f>
        <v>5</v>
      </c>
    </row>
    <row r="8" spans="1:6" ht="32.1" customHeight="1">
      <c r="A8" s="1" t="s">
        <v>9</v>
      </c>
      <c r="B8" s="1">
        <f>COUNTIF(RiskRegister!AD6:AD49,"Consolidated")</f>
        <v>3</v>
      </c>
      <c r="C8" s="1"/>
      <c r="D8" s="1"/>
      <c r="E8" s="1" t="s">
        <v>10</v>
      </c>
      <c r="F8" s="1">
        <f>COUNTIF(RiskRegister!P6:P49,E8)</f>
        <v>28</v>
      </c>
    </row>
    <row r="9" spans="1:6" ht="32.1" customHeight="1">
      <c r="A9" s="1"/>
      <c r="B9" s="1"/>
      <c r="C9" s="1"/>
      <c r="D9" s="1"/>
      <c r="E9" s="1" t="s">
        <v>11</v>
      </c>
      <c r="F9" s="1">
        <f>COUNTIF(RiskRegister!P6:P49,E9)</f>
        <v>8</v>
      </c>
    </row>
    <row r="10" spans="1:6" ht="32.1" customHeight="1">
      <c r="A10" s="1"/>
      <c r="B10" s="1"/>
      <c r="C10" s="1"/>
      <c r="D10" s="1"/>
      <c r="E10" s="1"/>
      <c r="F10" s="1"/>
    </row>
    <row r="11" spans="1:6" ht="32.1" customHeight="1">
      <c r="A11" s="1"/>
      <c r="B11" s="1"/>
      <c r="C11" s="1"/>
      <c r="D11" s="1"/>
      <c r="E11" s="1"/>
      <c r="F11" s="1"/>
    </row>
    <row r="12" spans="1:6" ht="32.1" customHeight="1">
      <c r="A12" s="3" t="s">
        <v>12</v>
      </c>
      <c r="B12" s="3" t="s">
        <v>5</v>
      </c>
      <c r="C12" s="3" t="s">
        <v>11</v>
      </c>
      <c r="D12" s="1"/>
      <c r="E12" s="3" t="s">
        <v>13</v>
      </c>
      <c r="F12" s="3" t="s">
        <v>5</v>
      </c>
    </row>
    <row r="13" spans="1:6" ht="32.1" customHeight="1">
      <c r="A13" s="1" t="s">
        <v>14</v>
      </c>
      <c r="B13" s="1">
        <f>COUNTIFS(RiskRegister!D6:D49,A13,RiskRegister!AD6:AD49,"Active")</f>
        <v>12</v>
      </c>
      <c r="C13" s="1">
        <f>COUNTIFS(RiskRegister!D6:D49,A13,RiskRegister!AD6:AD49,"Active",RiskRegister!P6:P49,"Extreme")</f>
        <v>2</v>
      </c>
      <c r="D13" s="1"/>
      <c r="E13" s="1" t="s">
        <v>15</v>
      </c>
      <c r="F13" s="1">
        <f>COUNTIFS(RiskRegister!W6:W49,E13,RiskRegister!AD6:AD49,"Active")</f>
        <v>6</v>
      </c>
    </row>
    <row r="14" spans="1:6" ht="32.1" customHeight="1">
      <c r="A14" s="1" t="s">
        <v>16</v>
      </c>
      <c r="B14" s="1">
        <f>COUNTIFS(RiskRegister!D6:D49,A14,RiskRegister!AD6:AD49,"Active")</f>
        <v>13</v>
      </c>
      <c r="C14" s="1">
        <f>COUNTIFS(RiskRegister!D6:D49,A14,RiskRegister!AD6:AD49,"Active",RiskRegister!P6:P49,"Extreme")</f>
        <v>3</v>
      </c>
      <c r="D14" s="1"/>
      <c r="E14" s="1" t="s">
        <v>17</v>
      </c>
      <c r="F14" s="1">
        <f>COUNTIFS(RiskRegister!W6:W49,E14,RiskRegister!AD6:AD49,"Active")</f>
        <v>24</v>
      </c>
    </row>
    <row r="15" spans="1:6" ht="32.1" customHeight="1">
      <c r="A15" s="1" t="s">
        <v>18</v>
      </c>
      <c r="B15" s="1">
        <f>COUNTIFS(RiskRegister!D6:D49,A15,RiskRegister!AD6:AD49,"Active")</f>
        <v>9</v>
      </c>
      <c r="C15" s="1">
        <f>COUNTIFS(RiskRegister!D6:D49,A15,RiskRegister!AD6:AD49,"Active",RiskRegister!P6:P49,"Extreme")</f>
        <v>1</v>
      </c>
      <c r="D15" s="1"/>
      <c r="E15" s="1" t="s">
        <v>19</v>
      </c>
      <c r="F15" s="1">
        <f>COUNTIFS(RiskRegister!W6:W49,E15,RiskRegister!AD6:AD49,"Active")</f>
        <v>11</v>
      </c>
    </row>
    <row r="16" spans="1:6" ht="32.1" customHeight="1">
      <c r="A16" s="1" t="s">
        <v>20</v>
      </c>
      <c r="B16" s="1">
        <f>COUNTIFS(RiskRegister!D6:D49,A16,RiskRegister!AD6:AD49,"Active")</f>
        <v>7</v>
      </c>
      <c r="C16" s="1">
        <f>COUNTIFS(RiskRegister!D6:D49,A16,RiskRegister!AD6:AD49,"Active",RiskRegister!P6:P49,"Extreme")</f>
        <v>2</v>
      </c>
      <c r="D16" s="1"/>
      <c r="E16" s="1"/>
      <c r="F16" s="1"/>
    </row>
    <row r="17" spans="1:6">
      <c r="A17" s="1"/>
      <c r="B17" s="1"/>
      <c r="C17" s="1"/>
      <c r="D17" s="1"/>
      <c r="E17" s="1"/>
      <c r="F17" s="1"/>
    </row>
    <row r="18" spans="1:6">
      <c r="A18" s="1"/>
      <c r="B18" s="1"/>
      <c r="C18" s="1"/>
      <c r="D18" s="1"/>
      <c r="E18" s="1"/>
      <c r="F18" s="1"/>
    </row>
    <row r="19" spans="1:6" ht="42" customHeight="1">
      <c r="A19" s="14" t="s">
        <v>21</v>
      </c>
      <c r="B19" s="14"/>
      <c r="C19" s="14"/>
      <c r="D19" s="14"/>
      <c r="E19" s="14"/>
      <c r="F19" s="14"/>
    </row>
    <row r="20" spans="1:6">
      <c r="A20" s="1"/>
      <c r="B20" s="1"/>
      <c r="C20" s="1"/>
      <c r="D20" s="1"/>
      <c r="E20" s="1"/>
      <c r="F20" s="1"/>
    </row>
    <row r="21" spans="1:6" ht="42" customHeight="1">
      <c r="A21" s="14" t="s">
        <v>22</v>
      </c>
      <c r="B21" s="14"/>
      <c r="C21" s="14"/>
      <c r="D21" s="14"/>
      <c r="E21" s="14"/>
      <c r="F21" s="14"/>
    </row>
    <row r="22" spans="1:6">
      <c r="A22" s="1"/>
      <c r="B22" s="1"/>
      <c r="C22" s="1"/>
      <c r="D22" s="1"/>
      <c r="E22" s="1"/>
      <c r="F22" s="1"/>
    </row>
    <row r="23" spans="1:6" ht="42" customHeight="1">
      <c r="A23" s="14" t="s">
        <v>23</v>
      </c>
      <c r="B23" s="14"/>
      <c r="C23" s="14"/>
      <c r="D23" s="14"/>
      <c r="E23" s="14"/>
      <c r="F23" s="14"/>
    </row>
    <row r="24" spans="1:6">
      <c r="A24" s="1"/>
      <c r="B24" s="1"/>
      <c r="C24" s="1"/>
      <c r="D24" s="1"/>
      <c r="E24" s="1"/>
      <c r="F24" s="1"/>
    </row>
    <row r="25" spans="1:6" ht="42" customHeight="1">
      <c r="A25" s="14" t="s">
        <v>24</v>
      </c>
      <c r="B25" s="14"/>
      <c r="C25" s="14"/>
      <c r="D25" s="14"/>
      <c r="E25" s="14"/>
      <c r="F25" s="14"/>
    </row>
    <row r="26" spans="1:6">
      <c r="A26" s="1"/>
      <c r="B26" s="1"/>
      <c r="C26" s="1"/>
      <c r="D26" s="1"/>
      <c r="E26" s="1"/>
      <c r="F26" s="1"/>
    </row>
    <row r="27" spans="1:6">
      <c r="A27" s="1"/>
      <c r="B27" s="1"/>
      <c r="C27" s="1"/>
      <c r="D27" s="1"/>
      <c r="E27" s="1"/>
      <c r="F27" s="1"/>
    </row>
    <row r="28" spans="1:6">
      <c r="A28" s="1"/>
      <c r="B28" s="1"/>
      <c r="C28" s="1"/>
      <c r="D28" s="1"/>
      <c r="E28" s="1"/>
      <c r="F28" s="1"/>
    </row>
  </sheetData>
  <mergeCells count="5">
    <mergeCell ref="A3:F3"/>
    <mergeCell ref="A19:F19"/>
    <mergeCell ref="A21:F21"/>
    <mergeCell ref="A23:F23"/>
    <mergeCell ref="A25:F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8"/>
  <sheetViews>
    <sheetView showGridLines="0" workbookViewId="0">
      <selection activeCell="A2" sqref="A2:B2"/>
    </sheetView>
  </sheetViews>
  <sheetFormatPr defaultRowHeight="14.25"/>
  <cols>
    <col min="1" max="1" width="30" customWidth="1"/>
    <col min="2" max="2" width="115" customWidth="1"/>
  </cols>
  <sheetData>
    <row r="1" spans="1:2">
      <c r="A1" s="1"/>
      <c r="B1" s="1"/>
    </row>
    <row r="2" spans="1:2" ht="43.5" customHeight="1">
      <c r="A2" s="16" t="s">
        <v>25</v>
      </c>
      <c r="B2" s="16"/>
    </row>
    <row r="3" spans="1:2">
      <c r="A3" s="14" t="s">
        <v>26</v>
      </c>
      <c r="B3" s="14"/>
    </row>
    <row r="4" spans="1:2">
      <c r="A4" s="1" t="s">
        <v>27</v>
      </c>
      <c r="B4" s="5" t="s">
        <v>28</v>
      </c>
    </row>
    <row r="5" spans="1:2">
      <c r="A5" s="1"/>
      <c r="B5" s="1"/>
    </row>
    <row r="6" spans="1:2" ht="45" customHeight="1">
      <c r="A6" s="6" t="s">
        <v>29</v>
      </c>
      <c r="B6" s="6" t="str">
        <f>IFERROR(IF(INDEX(RiskRegister!$B$6:$B$49,MATCH($B$4,RiskRegister!$A$6:$A$49,0))="","",INDEX(RiskRegister!$B$6:$B$49,MATCH($B$4,RiskRegister!$A$6:$A$49,0))),"Select a valid Record ID")</f>
        <v>F1-E-01</v>
      </c>
    </row>
    <row r="7" spans="1:2" ht="45" customHeight="1">
      <c r="A7" s="1" t="s">
        <v>30</v>
      </c>
      <c r="B7" s="1" t="str">
        <f>IFERROR(IF(INDEX(RiskRegister!$C$6:$C$49,MATCH($B$4,RiskRegister!$A$6:$A$49,0))="","",INDEX(RiskRegister!$C$6:$C$49,MATCH($B$4,RiskRegister!$A$6:$A$49,0))),"Select a valid Record ID")</f>
        <v>Pandemic-response costs exceed available funds</v>
      </c>
    </row>
    <row r="8" spans="1:2" ht="45" customHeight="1">
      <c r="A8" s="6" t="s">
        <v>12</v>
      </c>
      <c r="B8" s="6" t="str">
        <f>IFERROR(IF(INDEX(RiskRegister!$D$6:$D$49,MATCH($B$4,RiskRegister!$A$6:$A$49,0))="","",INDEX(RiskRegister!$D$6:$D$49,MATCH($B$4,RiskRegister!$A$6:$A$49,0))),"Select a valid Record ID")</f>
        <v>Financial</v>
      </c>
    </row>
    <row r="9" spans="1:2" ht="45" customHeight="1">
      <c r="A9" s="1" t="s">
        <v>31</v>
      </c>
      <c r="B9" s="1" t="str">
        <f>IFERROR(IF(INDEX(RiskRegister!$E$6:$E$49,MATCH($B$4,RiskRegister!$A$6:$A$49,0))="","",INDEX(RiskRegister!$E$6:$E$49,MATCH($B$4,RiskRegister!$A$6:$A$49,0))),"Select a valid Record ID")</f>
        <v>1.1</v>
      </c>
    </row>
    <row r="10" spans="1:2" ht="45" customHeight="1">
      <c r="A10" s="6" t="s">
        <v>32</v>
      </c>
      <c r="B10" s="6" t="str">
        <f>IFERROR(IF(INDEX(RiskRegister!$F$6:$F$49,MATCH($B$4,RiskRegister!$A$6:$A$49,0))="","",INDEX(RiskRegister!$F$6:$F$49,MATCH($B$4,RiskRegister!$A$6:$A$49,0))),"Select a valid Record ID")</f>
        <v>E</v>
      </c>
    </row>
    <row r="11" spans="1:2" ht="45" customHeight="1">
      <c r="A11" s="1" t="s">
        <v>33</v>
      </c>
      <c r="B11" s="1" t="str">
        <f>IFERROR(IF(INDEX(RiskRegister!$G$6:$G$49,MATCH($B$4,RiskRegister!$A$6:$A$49,0))="","",INDEX(RiskRegister!$G$6:$G$49,MATCH($B$4,RiskRegister!$A$6:$A$49,0))),"Select a valid Record ID")</f>
        <v>Current classification</v>
      </c>
    </row>
    <row r="12" spans="1:2" ht="45" customHeight="1">
      <c r="A12" s="6" t="s">
        <v>34</v>
      </c>
      <c r="B12" s="6" t="str">
        <f>IFERROR(IF(INDEX(RiskRegister!$H$6:$H$49,MATCH($B$4,RiskRegister!$A$6:$A$49,0))="","",INDEX(RiskRegister!$H$6:$H$49,MATCH($B$4,RiskRegister!$A$6:$A$49,0))),"Select a valid Record ID")</f>
        <v>Tolerability awaiting evidence</v>
      </c>
    </row>
    <row r="13" spans="1:2" ht="105" customHeight="1">
      <c r="A13" s="1" t="s">
        <v>35</v>
      </c>
      <c r="B13" s="1" t="str">
        <f>IFERROR(IF(INDEX(RiskRegister!$I$6:$I$49,MATCH($B$4,RiskRegister!$A$6:$A$49,0))="","",INDEX(RiskRegister!$I$6:$I$49,MATCH($B$4,RiskRegister!$A$6:$A$49,0))),"Select a valid Record ID")</f>
        <v>Urgent, unplanned spending on equipment, training, technology and continuity arrangements.</v>
      </c>
    </row>
    <row r="14" spans="1:2" ht="105" customHeight="1">
      <c r="A14" s="6" t="s">
        <v>36</v>
      </c>
      <c r="B14" s="6" t="str">
        <f>IFERROR(IF(INDEX(RiskRegister!$J$6:$J$49,MATCH($B$4,RiskRegister!$A$6:$A$49,0))="","",INDEX(RiskRegister!$J$6:$J$49,MATCH($B$4,RiskRegister!$A$6:$A$49,0))),"Select a valid Record ID")</f>
        <v>Required pandemic-response spending exceeds the funds available when needed.</v>
      </c>
    </row>
    <row r="15" spans="1:2" ht="105" customHeight="1">
      <c r="A15" s="1" t="s">
        <v>37</v>
      </c>
      <c r="B15" s="1" t="str">
        <f>IFERROR(IF(INDEX(RiskRegister!$K$6:$K$49,MATCH($B$4,RiskRegister!$A$6:$A$49,0))="","",INDEX(RiskRegister!$K$6:$K$49,MATCH($B$4,RiskRegister!$A$6:$A$49,0))),"Select a valid Record ID")</f>
        <v>Essential improvements may be delayed or funds diverted from other commitments, weakening continuity and policyholder protection.</v>
      </c>
    </row>
    <row r="16" spans="1:2" ht="45" customHeight="1">
      <c r="A16" s="6" t="s">
        <v>38</v>
      </c>
      <c r="B16" s="6" t="str">
        <f>IFERROR(IF(INDEX(RiskRegister!$L$6:$L$49,MATCH($B$4,RiskRegister!$A$6:$A$49,0))="","",INDEX(RiskRegister!$L$6:$L$49,MATCH($B$4,RiskRegister!$A$6:$A$49,0))),"Select a valid Record ID")</f>
        <v>Funding essential services</v>
      </c>
    </row>
    <row r="17" spans="1:2" ht="45" customHeight="1">
      <c r="A17" s="1" t="s">
        <v>39</v>
      </c>
      <c r="B17" s="1" t="str">
        <f>IFERROR(IF(INDEX(RiskRegister!$M$6:$M$49,MATCH($B$4,RiskRegister!$A$6:$A$49,0))="","",INDEX(RiskRegister!$M$6:$M$49,MATCH($B$4,RiskRegister!$A$6:$A$49,0))),"Select a valid Record ID")</f>
        <v>2020-04-01 to 2020-06-30</v>
      </c>
    </row>
    <row r="18" spans="1:2" ht="45" customHeight="1">
      <c r="A18" s="6" t="s">
        <v>40</v>
      </c>
      <c r="B18" s="6">
        <f>IFERROR(IF(INDEX(RiskRegister!$N$6:$N$49,MATCH($B$4,RiskRegister!$A$6:$A$49,0))="","",INDEX(RiskRegister!$N$6:$N$49,MATCH($B$4,RiskRegister!$A$6:$A$49,0))),"Select a valid Record ID")</f>
        <v>3</v>
      </c>
    </row>
    <row r="19" spans="1:2" ht="45" customHeight="1">
      <c r="A19" s="1" t="s">
        <v>41</v>
      </c>
      <c r="B19" s="1">
        <f>IFERROR(IF(INDEX(RiskRegister!$O$6:$O$49,MATCH($B$4,RiskRegister!$A$6:$A$49,0))="","",INDEX(RiskRegister!$O$6:$O$49,MATCH($B$4,RiskRegister!$A$6:$A$49,0))),"Select a valid Record ID")</f>
        <v>4</v>
      </c>
    </row>
    <row r="20" spans="1:2" ht="45" customHeight="1">
      <c r="A20" s="6" t="s">
        <v>4</v>
      </c>
      <c r="B20" s="6" t="str">
        <f>IFERROR(IF(INDEX(RiskRegister!$P$6:$P$49,MATCH($B$4,RiskRegister!$A$6:$A$49,0))="","",INDEX(RiskRegister!$P$6:$P$49,MATCH($B$4,RiskRegister!$A$6:$A$49,0))),"Select a valid Record ID")</f>
        <v>High</v>
      </c>
    </row>
    <row r="21" spans="1:2" ht="105" customHeight="1">
      <c r="A21" s="1" t="s">
        <v>42</v>
      </c>
      <c r="B21" s="1" t="str">
        <f>IFERROR(IF(INDEX(RiskRegister!$Q$6:$Q$49,MATCH($B$4,RiskRegister!$A$6:$A$49,0))="","",INDEX(RiskRegister!$Q$6:$Q$49,MATCH($B$4,RiskRegister!$A$6:$A$49,0))),"Select a valid Record ID")</f>
        <v>Urgent costs could exceed available funding, but no response budget or cash forecast establishes that a shortfall is likely.</v>
      </c>
    </row>
    <row r="22" spans="1:2" ht="105" customHeight="1">
      <c r="A22" s="6" t="s">
        <v>43</v>
      </c>
      <c r="B22" s="6" t="str">
        <f>IFERROR(IF(INDEX(RiskRegister!$R$6:$R$49,MATCH($B$4,RiskRegister!$A$6:$A$49,0))="","",INDEX(RiskRegister!$R$6:$R$49,MATCH($B$4,RiskRegister!$A$6:$A$49,0))),"Select a valid Record ID")</f>
        <v>Major assumes a shortfall large enough to delay essential measures, rather than a minor budget overrun.</v>
      </c>
    </row>
    <row r="23" spans="1:2" ht="105" customHeight="1">
      <c r="A23" s="1" t="s">
        <v>44</v>
      </c>
      <c r="B23" s="1" t="str">
        <f>IFERROR(IF(INDEX(RiskRegister!$S$6:$S$49,MATCH($B$4,RiskRegister!$A$6:$A$49,0))="","",INDEX(RiskRegister!$S$6:$S$49,MATCH($B$4,RiskRegister!$A$6:$A$49,0))),"Select a valid Record ID")</f>
        <v>Financial modelling of funds and expected expenditure.</v>
      </c>
    </row>
    <row r="24" spans="1:2" ht="45" customHeight="1">
      <c r="A24" s="6" t="s">
        <v>45</v>
      </c>
      <c r="B24" s="6" t="str">
        <f>IFERROR(IF(INDEX(RiskRegister!$T$6:$T$49,MATCH($B$4,RiskRegister!$A$6:$A$49,0))="","",INDEX(RiskRegister!$T$6:$T$49,MATCH($B$4,RiskRegister!$A$6:$A$49,0))),"Select a valid Record ID")</f>
        <v>Reported control; implementation and scope require verification.</v>
      </c>
    </row>
    <row r="25" spans="1:2" ht="105" customHeight="1">
      <c r="A25" s="1" t="s">
        <v>46</v>
      </c>
      <c r="B25" s="1" t="str">
        <f>IFERROR(IF(INDEX(RiskRegister!$U$6:$U$49,MATCH($B$4,RiskRegister!$A$6:$A$49,0))="","",INDEX(RiskRegister!$U$6:$U$49,MATCH($B$4,RiskRegister!$A$6:$A$49,0))),"Select a valid Record ID")</f>
        <v>Forecasting can identify a funding shortfall but does not ensure funds are available. Financial modelling scope, pandemic costs, payment timing and available cash remain unverified.</v>
      </c>
    </row>
    <row r="26" spans="1:2" ht="105" customHeight="1">
      <c r="A26" s="6" t="s">
        <v>47</v>
      </c>
      <c r="B26" s="6" t="str">
        <f>IFERROR(IF(INDEX(RiskRegister!$V$6:$V$49,MATCH($B$4,RiskRegister!$A$6:$A$49,0))="","",INDEX(RiskRegister!$V$6:$V$49,MATCH($B$4,RiskRegister!$A$6:$A$49,0))),"Select a valid Record ID")</f>
        <v>Financial modelling scope, pandemic costs, payment timing and available cash remain unverified.</v>
      </c>
    </row>
    <row r="27" spans="1:2" ht="45" customHeight="1">
      <c r="A27" s="1" t="s">
        <v>13</v>
      </c>
      <c r="B27" s="1" t="str">
        <f>IFERROR(IF(INDEX(RiskRegister!$W$6:$W$49,MATCH($B$4,RiskRegister!$A$6:$A$49,0))="","",INDEX(RiskRegister!$W$6:$W$49,MATCH($B$4,RiskRegister!$A$6:$A$49,0))),"Select a valid Record ID")</f>
        <v>Awaiting assessment</v>
      </c>
    </row>
    <row r="28" spans="1:2" ht="105" customHeight="1">
      <c r="A28" s="6" t="s">
        <v>48</v>
      </c>
      <c r="B28" s="6" t="str">
        <f>IFERROR(IF(INDEX(RiskRegister!$X$6:$X$49,MATCH($B$4,RiskRegister!$A$6:$A$49,0))="","",INDEX(RiskRegister!$X$6:$X$49,MATCH($B$4,RiskRegister!$A$6:$A$49,0))),"Select a valid Record ID")</f>
        <v>The supplied information does not establish the remaining exposure after controls. Financial modelling scope, pandemic costs, payment timing and available cash remain unverified. A tolerability decision must consider the agreed appetite and the need to sustain funding essential services.</v>
      </c>
    </row>
    <row r="29" spans="1:2" ht="105" customHeight="1">
      <c r="A29" s="1" t="s">
        <v>49</v>
      </c>
      <c r="B29" s="1" t="str">
        <f>IFERROR(IF(INDEX(RiskRegister!$Y$6:$Y$49,MATCH($B$4,RiskRegister!$A$6:$A$49,0))="","",INDEX(RiskRegister!$Y$6:$Y$49,MATCH($B$4,RiskRegister!$A$6:$A$49,0))),"Select a valid Record ID")</f>
        <v>Controllability is partial: internal preparation and decisions can reduce exposure, while external conditions may remain beyond our control.</v>
      </c>
    </row>
    <row r="30" spans="1:2" ht="105" customHeight="1">
      <c r="A30" s="6" t="s">
        <v>50</v>
      </c>
      <c r="B30" s="6" t="str">
        <f>IFERROR(IF(INDEX(RiskRegister!$Z$6:$Z$49,MATCH($B$4,RiskRegister!$A$6:$A$49,0))="","",INDEX(RiskRegister!$Z$6:$Z$49,MATCH($B$4,RiskRegister!$A$6:$A$49,0))),"Select a valid Record ID")</f>
        <v>Sustain funding essential services as part of meeting essential service and policyholder obligations. Business necessity does not itself make the exposure tolerable.</v>
      </c>
    </row>
    <row r="31" spans="1:2" ht="105" customHeight="1">
      <c r="A31" s="1" t="s">
        <v>51</v>
      </c>
      <c r="B31" s="1" t="str">
        <f>IFERROR(IF(INDEX(RiskRegister!$AA$6:$AA$49,MATCH($B$4,RiskRegister!$A$6:$A$49,0))="","",INDEX(RiskRegister!$AA$6:$AA$49,MATCH($B$4,RiskRegister!$A$6:$A$49,0))),"Select a valid Record ID")</f>
        <v>Consequences may extend beyond three months; reassess during weekly reviews. Initial likelihood horizon ends 2020-06-30; later information belongs to dated reviews.</v>
      </c>
    </row>
    <row r="32" spans="1:2" ht="45" customHeight="1">
      <c r="A32" s="6" t="s">
        <v>52</v>
      </c>
      <c r="B32" s="6" t="str">
        <f>IFERROR(IF(INDEX(RiskRegister!$AB$6:$AB$49,MATCH($B$4,RiskRegister!$A$6:$A$49,0))="","",INDEX(RiskRegister!$AB$6:$AB$49,MATCH($B$4,RiskRegister!$A$6:$A$49,0))),"Select a valid Record ID")</f>
        <v>Finance Manager</v>
      </c>
    </row>
    <row r="33" spans="1:2" ht="105" customHeight="1">
      <c r="A33" s="1" t="s">
        <v>53</v>
      </c>
      <c r="B33" s="1" t="str">
        <f>IFERROR(IF(INDEX(RiskRegister!$AC$6:$AC$49,MATCH($B$4,RiskRegister!$A$6:$A$49,0))="","",INDEX(RiskRegister!$AC$6:$AC$49,MATCH($B$4,RiskRegister!$A$6:$A$49,0))),"Select a valid Record ID")</f>
        <v>Business outline(1).pdf: The case confirms premium collection and investment activity, but no financial-modelling or liquidity-control specification (pp. 5–6). No internal incident history is verified. Only evidence available by 2020-04-01 can support the initial assessment.</v>
      </c>
    </row>
    <row r="34" spans="1:2" ht="45" customHeight="1">
      <c r="A34" s="6" t="s">
        <v>54</v>
      </c>
      <c r="B34" s="6" t="str">
        <f>IFERROR(IF(INDEX(RiskRegister!$AD$6:$AD$49,MATCH($B$4,RiskRegister!$A$6:$A$49,0))="","",INDEX(RiskRegister!$AD$6:$AD$49,MATCH($B$4,RiskRegister!$A$6:$A$49,0))),"Select a valid Record ID")</f>
        <v>Active</v>
      </c>
    </row>
    <row r="35" spans="1:2" ht="45" customHeight="1">
      <c r="A35" s="1" t="s">
        <v>55</v>
      </c>
      <c r="B35" s="1" t="str">
        <f>IFERROR(IF(INDEX(RiskRegister!$AE$6:$AE$49,MATCH($B$4,RiskRegister!$A$6:$A$49,0))="","",INDEX(RiskRegister!$AE$6:$AE$49,MATCH($B$4,RiskRegister!$A$6:$A$49,0))),"Select a valid Record ID")</f>
        <v/>
      </c>
    </row>
    <row r="36" spans="1:2" ht="45" customHeight="1">
      <c r="A36" s="6" t="s">
        <v>56</v>
      </c>
      <c r="B36" s="7">
        <f>IFERROR(IF(INDEX(RiskRegister!$AF$6:$AF$49,MATCH($B$4,RiskRegister!$A$6:$A$49,0))="","",INDEX(RiskRegister!$AF$6:$AF$49,MATCH($B$4,RiskRegister!$A$6:$A$49,0))),"Select a valid Record ID")</f>
        <v>43922</v>
      </c>
    </row>
    <row r="37" spans="1:2" ht="45" customHeight="1">
      <c r="A37" s="1" t="s">
        <v>57</v>
      </c>
      <c r="B37" s="4">
        <f>IFERROR(IF(INDEX(RiskRegister!$AG$6:$AG$49,MATCH($B$4,RiskRegister!$A$6:$A$49,0))="","",INDEX(RiskRegister!$AG$6:$AG$49,MATCH($B$4,RiskRegister!$A$6:$A$49,0))),"Select a valid Record ID")</f>
        <v>44012</v>
      </c>
    </row>
    <row r="38" spans="1:2" ht="45" customHeight="1">
      <c r="A38" s="6" t="s">
        <v>58</v>
      </c>
      <c r="B38" s="6" t="str">
        <f>IFERROR(IF(INDEX(RiskRegister!$AH$6:$AH$49,MATCH($B$4,RiskRegister!$A$6:$A$49,0))="","",INDEX(RiskRegister!$AH$6:$AH$49,MATCH($B$4,RiskRegister!$A$6:$A$49,0))),"Select a valid Record ID")</f>
        <v>Proposed accountable role; individual to be designated</v>
      </c>
    </row>
  </sheetData>
  <mergeCells count="2">
    <mergeCell ref="A3:B3"/>
    <mergeCell ref="A2:B2"/>
  </mergeCells>
  <dataValidations count="1">
    <dataValidation type="list" sqref="B4" xr:uid="{00000000-0002-0000-0100-000000000000}">
      <formula1>_xlfn._LONGTEXT("R-001,R-002,R-003,R-004,R-005,R-006,R-007,R-008,R-009,R-010,R-011,R-012,R-014,R-015,R-016,R-017,R-018,R-019,R-020,R-021,R-022,R-023,R-024,R-025,R-026,R-027,R-028,R-029,R-030,R-031,R-032,R-033,R-034,R-035,R-036,R-037,R-038,R-039,R-040,R-041,R-042,R-043,R-0","44,R-045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49"/>
  <sheetViews>
    <sheetView showGridLines="0" tabSelected="1" zoomScale="85" zoomScaleNormal="85" workbookViewId="0">
      <pane ySplit="5" topLeftCell="A27" activePane="bottomLeft" state="frozen"/>
      <selection pane="bottomLeft" activeCell="F2" sqref="F2"/>
    </sheetView>
  </sheetViews>
  <sheetFormatPr defaultRowHeight="14.25"/>
  <cols>
    <col min="1" max="2" width="15" customWidth="1"/>
    <col min="3" max="3" width="30" customWidth="1"/>
    <col min="4" max="4" width="55" customWidth="1"/>
    <col min="5" max="5" width="15" customWidth="1"/>
    <col min="6" max="6" width="55" customWidth="1"/>
    <col min="7" max="8" width="30" customWidth="1"/>
    <col min="9" max="13" width="55" customWidth="1"/>
    <col min="14" max="15" width="15" customWidth="1"/>
    <col min="16" max="19" width="55" customWidth="1"/>
    <col min="20" max="20" width="30" customWidth="1"/>
    <col min="21" max="22" width="55" customWidth="1"/>
    <col min="23" max="23" width="30" customWidth="1"/>
    <col min="24" max="27" width="55" customWidth="1"/>
    <col min="28" max="28" width="30" customWidth="1"/>
    <col min="29" max="29" width="55" customWidth="1"/>
    <col min="30" max="31" width="30" customWidth="1"/>
    <col min="32" max="33" width="55" customWidth="1"/>
    <col min="34" max="34" width="30" customWidth="1"/>
  </cols>
  <sheetData>
    <row r="1" spans="1:3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65.25" customHeight="1">
      <c r="A2" s="18" t="s">
        <v>0</v>
      </c>
      <c r="B2" s="18"/>
      <c r="C2" s="18"/>
      <c r="D2" s="18"/>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27.75" customHeight="1">
      <c r="A3" s="15" t="s">
        <v>59</v>
      </c>
      <c r="B3" s="15"/>
      <c r="C3" s="15"/>
      <c r="D3" s="15"/>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38.1" customHeight="1">
      <c r="A5" s="3" t="s">
        <v>27</v>
      </c>
      <c r="B5" s="3" t="s">
        <v>29</v>
      </c>
      <c r="C5" s="3" t="s">
        <v>30</v>
      </c>
      <c r="D5" s="3" t="s">
        <v>12</v>
      </c>
      <c r="E5" s="3" t="s">
        <v>31</v>
      </c>
      <c r="F5" s="3" t="s">
        <v>32</v>
      </c>
      <c r="G5" s="3" t="s">
        <v>33</v>
      </c>
      <c r="H5" s="3" t="s">
        <v>34</v>
      </c>
      <c r="I5" s="3" t="s">
        <v>35</v>
      </c>
      <c r="J5" s="3" t="s">
        <v>36</v>
      </c>
      <c r="K5" s="3" t="s">
        <v>37</v>
      </c>
      <c r="L5" s="3" t="s">
        <v>38</v>
      </c>
      <c r="M5" s="3" t="s">
        <v>39</v>
      </c>
      <c r="N5" s="3" t="s">
        <v>40</v>
      </c>
      <c r="O5" s="3" t="s">
        <v>41</v>
      </c>
      <c r="P5" s="3" t="s">
        <v>4</v>
      </c>
      <c r="Q5" s="3" t="s">
        <v>42</v>
      </c>
      <c r="R5" s="3" t="s">
        <v>43</v>
      </c>
      <c r="S5" s="3" t="s">
        <v>44</v>
      </c>
      <c r="T5" s="3" t="s">
        <v>45</v>
      </c>
      <c r="U5" s="3" t="s">
        <v>46</v>
      </c>
      <c r="V5" s="3" t="s">
        <v>47</v>
      </c>
      <c r="W5" s="3" t="s">
        <v>13</v>
      </c>
      <c r="X5" s="3" t="s">
        <v>48</v>
      </c>
      <c r="Y5" s="3" t="s">
        <v>49</v>
      </c>
      <c r="Z5" s="3" t="s">
        <v>50</v>
      </c>
      <c r="AA5" s="3" t="s">
        <v>51</v>
      </c>
      <c r="AB5" s="3" t="s">
        <v>52</v>
      </c>
      <c r="AC5" s="3" t="s">
        <v>53</v>
      </c>
      <c r="AD5" s="3" t="s">
        <v>54</v>
      </c>
      <c r="AE5" s="3" t="s">
        <v>55</v>
      </c>
      <c r="AF5" s="3" t="s">
        <v>56</v>
      </c>
      <c r="AG5" s="3" t="s">
        <v>57</v>
      </c>
      <c r="AH5" s="3" t="s">
        <v>58</v>
      </c>
    </row>
    <row r="6" spans="1:34" ht="189.95" customHeight="1">
      <c r="A6" s="9" t="s">
        <v>28</v>
      </c>
      <c r="B6" s="9" t="s">
        <v>60</v>
      </c>
      <c r="C6" s="9" t="s">
        <v>61</v>
      </c>
      <c r="D6" s="9" t="s">
        <v>14</v>
      </c>
      <c r="E6" s="9" t="s">
        <v>62</v>
      </c>
      <c r="F6" s="9" t="s">
        <v>63</v>
      </c>
      <c r="G6" s="9" t="s">
        <v>64</v>
      </c>
      <c r="H6" s="9" t="s">
        <v>65</v>
      </c>
      <c r="I6" s="9" t="s">
        <v>66</v>
      </c>
      <c r="J6" s="9" t="s">
        <v>67</v>
      </c>
      <c r="K6" s="9" t="s">
        <v>68</v>
      </c>
      <c r="L6" s="9" t="s">
        <v>69</v>
      </c>
      <c r="M6" s="9" t="s">
        <v>70</v>
      </c>
      <c r="N6" s="9">
        <v>3</v>
      </c>
      <c r="O6" s="9">
        <v>4</v>
      </c>
      <c r="P6" s="9" t="str">
        <f>IF(AD6="Consolidated","Consolidated",IF(OR(N6="",O6=""),"Not assessed",INDEX('Assessment Guide'!$B$5:$F$9,N6,O6)))</f>
        <v>High</v>
      </c>
      <c r="Q6" s="9" t="s">
        <v>71</v>
      </c>
      <c r="R6" s="9" t="s">
        <v>72</v>
      </c>
      <c r="S6" s="9" t="s">
        <v>73</v>
      </c>
      <c r="T6" s="9" t="s">
        <v>74</v>
      </c>
      <c r="U6" s="9" t="s">
        <v>75</v>
      </c>
      <c r="V6" s="9" t="s">
        <v>76</v>
      </c>
      <c r="W6" s="9" t="s">
        <v>19</v>
      </c>
      <c r="X6" s="9" t="s">
        <v>77</v>
      </c>
      <c r="Y6" s="9" t="s">
        <v>78</v>
      </c>
      <c r="Z6" s="9" t="s">
        <v>79</v>
      </c>
      <c r="AA6" s="9" t="s">
        <v>80</v>
      </c>
      <c r="AB6" s="9" t="s">
        <v>81</v>
      </c>
      <c r="AC6" s="9" t="s">
        <v>82</v>
      </c>
      <c r="AD6" s="9" t="s">
        <v>83</v>
      </c>
      <c r="AE6" s="9"/>
      <c r="AF6" s="10">
        <v>43922</v>
      </c>
      <c r="AG6" s="10">
        <v>44012</v>
      </c>
      <c r="AH6" s="9" t="s">
        <v>84</v>
      </c>
    </row>
    <row r="7" spans="1:34" ht="189.95" customHeight="1">
      <c r="A7" s="1" t="s">
        <v>85</v>
      </c>
      <c r="B7" s="1" t="s">
        <v>86</v>
      </c>
      <c r="C7" s="1" t="s">
        <v>87</v>
      </c>
      <c r="D7" s="1" t="s">
        <v>14</v>
      </c>
      <c r="E7" s="1" t="s">
        <v>62</v>
      </c>
      <c r="F7" s="1" t="s">
        <v>88</v>
      </c>
      <c r="G7" s="1" t="s">
        <v>64</v>
      </c>
      <c r="H7" s="1" t="s">
        <v>65</v>
      </c>
      <c r="I7" s="1" t="s">
        <v>89</v>
      </c>
      <c r="J7" s="1" t="s">
        <v>90</v>
      </c>
      <c r="K7" s="1" t="s">
        <v>91</v>
      </c>
      <c r="L7" s="1" t="s">
        <v>92</v>
      </c>
      <c r="M7" s="1" t="s">
        <v>70</v>
      </c>
      <c r="N7" s="1">
        <v>3</v>
      </c>
      <c r="O7" s="1">
        <v>4</v>
      </c>
      <c r="P7" s="1" t="str">
        <f>IF(AD7="Consolidated","Consolidated",IF(OR(N7="",O7=""),"Not assessed",INDEX('Assessment Guide'!$B$5:$F$9,N7,O7)))</f>
        <v>High</v>
      </c>
      <c r="Q7" s="1" t="s">
        <v>93</v>
      </c>
      <c r="R7" s="1" t="s">
        <v>94</v>
      </c>
      <c r="S7" s="1" t="s">
        <v>95</v>
      </c>
      <c r="T7" s="1" t="s">
        <v>74</v>
      </c>
      <c r="U7" s="1" t="s">
        <v>96</v>
      </c>
      <c r="V7" s="1" t="s">
        <v>97</v>
      </c>
      <c r="W7" s="1" t="s">
        <v>19</v>
      </c>
      <c r="X7" s="1" t="s">
        <v>98</v>
      </c>
      <c r="Y7" s="1" t="s">
        <v>78</v>
      </c>
      <c r="Z7" s="1" t="s">
        <v>99</v>
      </c>
      <c r="AA7" s="1" t="s">
        <v>80</v>
      </c>
      <c r="AB7" s="1" t="s">
        <v>81</v>
      </c>
      <c r="AC7" s="1" t="s">
        <v>82</v>
      </c>
      <c r="AD7" s="1" t="s">
        <v>83</v>
      </c>
      <c r="AE7" s="1"/>
      <c r="AF7" s="4">
        <v>43922</v>
      </c>
      <c r="AG7" s="4">
        <v>44012</v>
      </c>
      <c r="AH7" s="1" t="s">
        <v>84</v>
      </c>
    </row>
    <row r="8" spans="1:34" ht="189.95" customHeight="1">
      <c r="A8" s="9" t="s">
        <v>100</v>
      </c>
      <c r="B8" s="9" t="s">
        <v>101</v>
      </c>
      <c r="C8" s="9" t="s">
        <v>102</v>
      </c>
      <c r="D8" s="9" t="s">
        <v>14</v>
      </c>
      <c r="E8" s="9" t="s">
        <v>103</v>
      </c>
      <c r="F8" s="9" t="s">
        <v>104</v>
      </c>
      <c r="G8" s="9" t="s">
        <v>64</v>
      </c>
      <c r="H8" s="9" t="s">
        <v>105</v>
      </c>
      <c r="I8" s="9" t="s">
        <v>106</v>
      </c>
      <c r="J8" s="9" t="s">
        <v>107</v>
      </c>
      <c r="K8" s="9" t="s">
        <v>108</v>
      </c>
      <c r="L8" s="9" t="s">
        <v>109</v>
      </c>
      <c r="M8" s="9" t="s">
        <v>70</v>
      </c>
      <c r="N8" s="9">
        <v>3</v>
      </c>
      <c r="O8" s="9">
        <v>4</v>
      </c>
      <c r="P8" s="9" t="str">
        <f>IF(AD8="Consolidated","Consolidated",IF(OR(N8="",O8=""),"Not assessed",INDEX('Assessment Guide'!$B$5:$F$9,N8,O8)))</f>
        <v>High</v>
      </c>
      <c r="Q8" s="9" t="s">
        <v>110</v>
      </c>
      <c r="R8" s="9" t="s">
        <v>111</v>
      </c>
      <c r="S8" s="9" t="s">
        <v>112</v>
      </c>
      <c r="T8" s="9" t="s">
        <v>113</v>
      </c>
      <c r="U8" s="9" t="s">
        <v>114</v>
      </c>
      <c r="V8" s="9" t="s">
        <v>115</v>
      </c>
      <c r="W8" s="9" t="s">
        <v>17</v>
      </c>
      <c r="X8" s="9" t="s">
        <v>116</v>
      </c>
      <c r="Y8" s="9" t="s">
        <v>117</v>
      </c>
      <c r="Z8" s="9" t="s">
        <v>118</v>
      </c>
      <c r="AA8" s="9" t="s">
        <v>80</v>
      </c>
      <c r="AB8" s="9" t="s">
        <v>81</v>
      </c>
      <c r="AC8" s="9" t="s">
        <v>82</v>
      </c>
      <c r="AD8" s="9" t="s">
        <v>83</v>
      </c>
      <c r="AE8" s="9"/>
      <c r="AF8" s="10">
        <v>43922</v>
      </c>
      <c r="AG8" s="10">
        <v>44012</v>
      </c>
      <c r="AH8" s="9" t="s">
        <v>84</v>
      </c>
    </row>
    <row r="9" spans="1:34" ht="189.95" customHeight="1">
      <c r="A9" s="1" t="s">
        <v>119</v>
      </c>
      <c r="B9" s="1" t="s">
        <v>120</v>
      </c>
      <c r="C9" s="1" t="s">
        <v>121</v>
      </c>
      <c r="D9" s="1" t="s">
        <v>14</v>
      </c>
      <c r="E9" s="1" t="s">
        <v>103</v>
      </c>
      <c r="F9" s="1" t="s">
        <v>63</v>
      </c>
      <c r="G9" s="1" t="s">
        <v>64</v>
      </c>
      <c r="H9" s="1" t="s">
        <v>65</v>
      </c>
      <c r="I9" s="1" t="s">
        <v>122</v>
      </c>
      <c r="J9" s="1" t="s">
        <v>123</v>
      </c>
      <c r="K9" s="1" t="s">
        <v>124</v>
      </c>
      <c r="L9" s="1" t="s">
        <v>125</v>
      </c>
      <c r="M9" s="1" t="s">
        <v>70</v>
      </c>
      <c r="N9" s="1">
        <v>3</v>
      </c>
      <c r="O9" s="1">
        <v>4</v>
      </c>
      <c r="P9" s="1" t="str">
        <f>IF(AD9="Consolidated","Consolidated",IF(OR(N9="",O9=""),"Not assessed",INDEX('Assessment Guide'!$B$5:$F$9,N9,O9)))</f>
        <v>High</v>
      </c>
      <c r="Q9" s="1" t="s">
        <v>126</v>
      </c>
      <c r="R9" s="1" t="s">
        <v>127</v>
      </c>
      <c r="S9" s="1" t="s">
        <v>112</v>
      </c>
      <c r="T9" s="1" t="s">
        <v>113</v>
      </c>
      <c r="U9" s="1" t="s">
        <v>114</v>
      </c>
      <c r="V9" s="1" t="s">
        <v>128</v>
      </c>
      <c r="W9" s="1" t="s">
        <v>19</v>
      </c>
      <c r="X9" s="1" t="s">
        <v>129</v>
      </c>
      <c r="Y9" s="1" t="s">
        <v>78</v>
      </c>
      <c r="Z9" s="1" t="s">
        <v>130</v>
      </c>
      <c r="AA9" s="1" t="s">
        <v>80</v>
      </c>
      <c r="AB9" s="1" t="s">
        <v>81</v>
      </c>
      <c r="AC9" s="1" t="s">
        <v>82</v>
      </c>
      <c r="AD9" s="1" t="s">
        <v>83</v>
      </c>
      <c r="AE9" s="1"/>
      <c r="AF9" s="4">
        <v>43922</v>
      </c>
      <c r="AG9" s="4">
        <v>44012</v>
      </c>
      <c r="AH9" s="1" t="s">
        <v>84</v>
      </c>
    </row>
    <row r="10" spans="1:34" ht="189.95" customHeight="1">
      <c r="A10" s="9" t="s">
        <v>131</v>
      </c>
      <c r="B10" s="9" t="s">
        <v>132</v>
      </c>
      <c r="C10" s="9" t="s">
        <v>133</v>
      </c>
      <c r="D10" s="9" t="s">
        <v>14</v>
      </c>
      <c r="E10" s="9" t="s">
        <v>134</v>
      </c>
      <c r="F10" s="9" t="s">
        <v>135</v>
      </c>
      <c r="G10" s="9" t="s">
        <v>64</v>
      </c>
      <c r="H10" s="9" t="s">
        <v>105</v>
      </c>
      <c r="I10" s="9" t="s">
        <v>136</v>
      </c>
      <c r="J10" s="9" t="s">
        <v>137</v>
      </c>
      <c r="K10" s="9" t="s">
        <v>138</v>
      </c>
      <c r="L10" s="9" t="s">
        <v>139</v>
      </c>
      <c r="M10" s="9" t="s">
        <v>70</v>
      </c>
      <c r="N10" s="9">
        <v>3</v>
      </c>
      <c r="O10" s="9">
        <v>4</v>
      </c>
      <c r="P10" s="9" t="str">
        <f>IF(AD10="Consolidated","Consolidated",IF(OR(N10="",O10=""),"Not assessed",INDEX('Assessment Guide'!$B$5:$F$9,N10,O10)))</f>
        <v>High</v>
      </c>
      <c r="Q10" s="9" t="s">
        <v>140</v>
      </c>
      <c r="R10" s="9" t="s">
        <v>141</v>
      </c>
      <c r="S10" s="9" t="s">
        <v>142</v>
      </c>
      <c r="T10" s="9" t="s">
        <v>113</v>
      </c>
      <c r="U10" s="9" t="s">
        <v>143</v>
      </c>
      <c r="V10" s="9" t="s">
        <v>144</v>
      </c>
      <c r="W10" s="9" t="s">
        <v>17</v>
      </c>
      <c r="X10" s="9" t="s">
        <v>145</v>
      </c>
      <c r="Y10" s="9" t="s">
        <v>117</v>
      </c>
      <c r="Z10" s="9" t="s">
        <v>146</v>
      </c>
      <c r="AA10" s="9" t="s">
        <v>80</v>
      </c>
      <c r="AB10" s="9" t="s">
        <v>147</v>
      </c>
      <c r="AC10" s="9" t="s">
        <v>148</v>
      </c>
      <c r="AD10" s="9" t="s">
        <v>83</v>
      </c>
      <c r="AE10" s="9"/>
      <c r="AF10" s="10">
        <v>43922</v>
      </c>
      <c r="AG10" s="10">
        <v>44012</v>
      </c>
      <c r="AH10" s="9" t="s">
        <v>84</v>
      </c>
    </row>
    <row r="11" spans="1:34" ht="189.95" customHeight="1">
      <c r="A11" s="1" t="s">
        <v>149</v>
      </c>
      <c r="B11" s="1" t="s">
        <v>150</v>
      </c>
      <c r="C11" s="1" t="s">
        <v>151</v>
      </c>
      <c r="D11" s="1" t="s">
        <v>14</v>
      </c>
      <c r="E11" s="1" t="s">
        <v>134</v>
      </c>
      <c r="F11" s="1" t="s">
        <v>88</v>
      </c>
      <c r="G11" s="1" t="s">
        <v>64</v>
      </c>
      <c r="H11" s="1" t="s">
        <v>105</v>
      </c>
      <c r="I11" s="1" t="s">
        <v>152</v>
      </c>
      <c r="J11" s="1" t="s">
        <v>153</v>
      </c>
      <c r="K11" s="1" t="s">
        <v>154</v>
      </c>
      <c r="L11" s="1" t="s">
        <v>155</v>
      </c>
      <c r="M11" s="1" t="s">
        <v>70</v>
      </c>
      <c r="N11" s="1">
        <v>3</v>
      </c>
      <c r="O11" s="1">
        <v>4</v>
      </c>
      <c r="P11" s="1" t="str">
        <f>IF(AD11="Consolidated","Consolidated",IF(OR(N11="",O11=""),"Not assessed",INDEX('Assessment Guide'!$B$5:$F$9,N11,O11)))</f>
        <v>High</v>
      </c>
      <c r="Q11" s="1" t="s">
        <v>156</v>
      </c>
      <c r="R11" s="1" t="s">
        <v>157</v>
      </c>
      <c r="S11" s="1" t="s">
        <v>142</v>
      </c>
      <c r="T11" s="1" t="s">
        <v>113</v>
      </c>
      <c r="U11" s="1" t="s">
        <v>143</v>
      </c>
      <c r="V11" s="1" t="s">
        <v>158</v>
      </c>
      <c r="W11" s="1" t="s">
        <v>17</v>
      </c>
      <c r="X11" s="1" t="s">
        <v>159</v>
      </c>
      <c r="Y11" s="1" t="s">
        <v>78</v>
      </c>
      <c r="Z11" s="1" t="s">
        <v>160</v>
      </c>
      <c r="AA11" s="1" t="s">
        <v>80</v>
      </c>
      <c r="AB11" s="1" t="s">
        <v>81</v>
      </c>
      <c r="AC11" s="1" t="s">
        <v>148</v>
      </c>
      <c r="AD11" s="1" t="s">
        <v>83</v>
      </c>
      <c r="AE11" s="1"/>
      <c r="AF11" s="4">
        <v>43922</v>
      </c>
      <c r="AG11" s="4">
        <v>44012</v>
      </c>
      <c r="AH11" s="1" t="s">
        <v>84</v>
      </c>
    </row>
    <row r="12" spans="1:34" ht="189.95" customHeight="1">
      <c r="A12" s="9" t="s">
        <v>161</v>
      </c>
      <c r="B12" s="9" t="s">
        <v>162</v>
      </c>
      <c r="C12" s="9" t="s">
        <v>163</v>
      </c>
      <c r="D12" s="9" t="s">
        <v>14</v>
      </c>
      <c r="E12" s="9" t="s">
        <v>134</v>
      </c>
      <c r="F12" s="9" t="s">
        <v>88</v>
      </c>
      <c r="G12" s="9" t="s">
        <v>64</v>
      </c>
      <c r="H12" s="9" t="s">
        <v>65</v>
      </c>
      <c r="I12" s="9" t="s">
        <v>164</v>
      </c>
      <c r="J12" s="9" t="s">
        <v>165</v>
      </c>
      <c r="K12" s="9" t="s">
        <v>166</v>
      </c>
      <c r="L12" s="9" t="s">
        <v>167</v>
      </c>
      <c r="M12" s="9" t="s">
        <v>70</v>
      </c>
      <c r="N12" s="9">
        <v>2</v>
      </c>
      <c r="O12" s="9">
        <v>4</v>
      </c>
      <c r="P12" s="9" t="str">
        <f>IF(AD12="Consolidated","Consolidated",IF(OR(N12="",O12=""),"Not assessed",INDEX('Assessment Guide'!$B$5:$F$9,N12,O12)))</f>
        <v>High</v>
      </c>
      <c r="Q12" s="9" t="s">
        <v>168</v>
      </c>
      <c r="R12" s="9" t="s">
        <v>169</v>
      </c>
      <c r="S12" s="9" t="s">
        <v>142</v>
      </c>
      <c r="T12" s="9" t="s">
        <v>113</v>
      </c>
      <c r="U12" s="9" t="s">
        <v>143</v>
      </c>
      <c r="V12" s="9" t="s">
        <v>170</v>
      </c>
      <c r="W12" s="9" t="s">
        <v>19</v>
      </c>
      <c r="X12" s="9" t="s">
        <v>171</v>
      </c>
      <c r="Y12" s="9" t="s">
        <v>78</v>
      </c>
      <c r="Z12" s="9" t="s">
        <v>172</v>
      </c>
      <c r="AA12" s="9" t="s">
        <v>80</v>
      </c>
      <c r="AB12" s="9" t="s">
        <v>81</v>
      </c>
      <c r="AC12" s="9" t="s">
        <v>148</v>
      </c>
      <c r="AD12" s="9" t="s">
        <v>83</v>
      </c>
      <c r="AE12" s="9"/>
      <c r="AF12" s="10">
        <v>43922</v>
      </c>
      <c r="AG12" s="10">
        <v>44012</v>
      </c>
      <c r="AH12" s="9" t="s">
        <v>84</v>
      </c>
    </row>
    <row r="13" spans="1:34" ht="189.95" customHeight="1">
      <c r="A13" s="1" t="s">
        <v>173</v>
      </c>
      <c r="B13" s="1" t="s">
        <v>174</v>
      </c>
      <c r="C13" s="1" t="s">
        <v>175</v>
      </c>
      <c r="D13" s="1" t="s">
        <v>14</v>
      </c>
      <c r="E13" s="1" t="s">
        <v>134</v>
      </c>
      <c r="F13" s="1" t="s">
        <v>88</v>
      </c>
      <c r="G13" s="1" t="s">
        <v>64</v>
      </c>
      <c r="H13" s="1" t="s">
        <v>65</v>
      </c>
      <c r="I13" s="1" t="s">
        <v>176</v>
      </c>
      <c r="J13" s="1" t="s">
        <v>177</v>
      </c>
      <c r="K13" s="1" t="s">
        <v>178</v>
      </c>
      <c r="L13" s="1" t="s">
        <v>179</v>
      </c>
      <c r="M13" s="1" t="s">
        <v>70</v>
      </c>
      <c r="N13" s="1">
        <v>2</v>
      </c>
      <c r="O13" s="1">
        <v>4</v>
      </c>
      <c r="P13" s="1" t="str">
        <f>IF(AD13="Consolidated","Consolidated",IF(OR(N13="",O13=""),"Not assessed",INDEX('Assessment Guide'!$B$5:$F$9,N13,O13)))</f>
        <v>High</v>
      </c>
      <c r="Q13" s="1" t="s">
        <v>180</v>
      </c>
      <c r="R13" s="1" t="s">
        <v>181</v>
      </c>
      <c r="S13" s="1" t="s">
        <v>112</v>
      </c>
      <c r="T13" s="1" t="s">
        <v>113</v>
      </c>
      <c r="U13" s="1" t="s">
        <v>114</v>
      </c>
      <c r="V13" s="1" t="s">
        <v>182</v>
      </c>
      <c r="W13" s="1" t="s">
        <v>19</v>
      </c>
      <c r="X13" s="1" t="s">
        <v>183</v>
      </c>
      <c r="Y13" s="1" t="s">
        <v>78</v>
      </c>
      <c r="Z13" s="1" t="s">
        <v>184</v>
      </c>
      <c r="AA13" s="1" t="s">
        <v>80</v>
      </c>
      <c r="AB13" s="1" t="s">
        <v>81</v>
      </c>
      <c r="AC13" s="1" t="s">
        <v>82</v>
      </c>
      <c r="AD13" s="1" t="s">
        <v>83</v>
      </c>
      <c r="AE13" s="1"/>
      <c r="AF13" s="4">
        <v>43922</v>
      </c>
      <c r="AG13" s="4">
        <v>44012</v>
      </c>
      <c r="AH13" s="1" t="s">
        <v>84</v>
      </c>
    </row>
    <row r="14" spans="1:34" ht="189.95" customHeight="1">
      <c r="A14" s="9" t="s">
        <v>185</v>
      </c>
      <c r="B14" s="9" t="s">
        <v>186</v>
      </c>
      <c r="C14" s="9" t="s">
        <v>187</v>
      </c>
      <c r="D14" s="9" t="s">
        <v>14</v>
      </c>
      <c r="E14" s="9" t="s">
        <v>134</v>
      </c>
      <c r="F14" s="9" t="s">
        <v>63</v>
      </c>
      <c r="G14" s="9" t="s">
        <v>64</v>
      </c>
      <c r="H14" s="9" t="s">
        <v>65</v>
      </c>
      <c r="I14" s="9" t="s">
        <v>188</v>
      </c>
      <c r="J14" s="9" t="s">
        <v>189</v>
      </c>
      <c r="K14" s="9" t="s">
        <v>190</v>
      </c>
      <c r="L14" s="9" t="s">
        <v>191</v>
      </c>
      <c r="M14" s="9" t="s">
        <v>70</v>
      </c>
      <c r="N14" s="9">
        <v>2</v>
      </c>
      <c r="O14" s="9">
        <v>4</v>
      </c>
      <c r="P14" s="9" t="str">
        <f>IF(AD14="Consolidated","Consolidated",IF(OR(N14="",O14=""),"Not assessed",INDEX('Assessment Guide'!$B$5:$F$9,N14,O14)))</f>
        <v>High</v>
      </c>
      <c r="Q14" s="9" t="s">
        <v>192</v>
      </c>
      <c r="R14" s="9" t="s">
        <v>193</v>
      </c>
      <c r="S14" s="9" t="s">
        <v>112</v>
      </c>
      <c r="T14" s="9" t="s">
        <v>113</v>
      </c>
      <c r="U14" s="9" t="s">
        <v>114</v>
      </c>
      <c r="V14" s="9" t="s">
        <v>194</v>
      </c>
      <c r="W14" s="9" t="s">
        <v>19</v>
      </c>
      <c r="X14" s="9" t="s">
        <v>195</v>
      </c>
      <c r="Y14" s="9" t="s">
        <v>78</v>
      </c>
      <c r="Z14" s="9" t="s">
        <v>196</v>
      </c>
      <c r="AA14" s="9" t="s">
        <v>80</v>
      </c>
      <c r="AB14" s="9" t="s">
        <v>81</v>
      </c>
      <c r="AC14" s="9" t="s">
        <v>82</v>
      </c>
      <c r="AD14" s="9" t="s">
        <v>83</v>
      </c>
      <c r="AE14" s="9"/>
      <c r="AF14" s="10">
        <v>43922</v>
      </c>
      <c r="AG14" s="10">
        <v>44012</v>
      </c>
      <c r="AH14" s="9" t="s">
        <v>84</v>
      </c>
    </row>
    <row r="15" spans="1:34" ht="189.95" customHeight="1">
      <c r="A15" s="1" t="s">
        <v>197</v>
      </c>
      <c r="B15" s="1" t="s">
        <v>198</v>
      </c>
      <c r="C15" s="1" t="s">
        <v>199</v>
      </c>
      <c r="D15" s="1" t="s">
        <v>14</v>
      </c>
      <c r="E15" s="1" t="s">
        <v>200</v>
      </c>
      <c r="F15" s="1" t="s">
        <v>63</v>
      </c>
      <c r="G15" s="1" t="s">
        <v>64</v>
      </c>
      <c r="H15" s="1" t="s">
        <v>65</v>
      </c>
      <c r="I15" s="1" t="s">
        <v>201</v>
      </c>
      <c r="J15" s="1" t="s">
        <v>202</v>
      </c>
      <c r="K15" s="1" t="s">
        <v>203</v>
      </c>
      <c r="L15" s="1" t="s">
        <v>204</v>
      </c>
      <c r="M15" s="1" t="s">
        <v>70</v>
      </c>
      <c r="N15" s="1">
        <v>2</v>
      </c>
      <c r="O15" s="1">
        <v>4</v>
      </c>
      <c r="P15" s="1" t="str">
        <f>IF(AD15="Consolidated","Consolidated",IF(OR(N15="",O15=""),"Not assessed",INDEX('Assessment Guide'!$B$5:$F$9,N15,O15)))</f>
        <v>High</v>
      </c>
      <c r="Q15" s="1" t="s">
        <v>205</v>
      </c>
      <c r="R15" s="1" t="s">
        <v>206</v>
      </c>
      <c r="S15" s="1" t="s">
        <v>112</v>
      </c>
      <c r="T15" s="1" t="s">
        <v>113</v>
      </c>
      <c r="U15" s="1" t="s">
        <v>114</v>
      </c>
      <c r="V15" s="1" t="s">
        <v>207</v>
      </c>
      <c r="W15" s="1" t="s">
        <v>19</v>
      </c>
      <c r="X15" s="1" t="s">
        <v>208</v>
      </c>
      <c r="Y15" s="1" t="s">
        <v>78</v>
      </c>
      <c r="Z15" s="1" t="s">
        <v>209</v>
      </c>
      <c r="AA15" s="1" t="s">
        <v>210</v>
      </c>
      <c r="AB15" s="1" t="s">
        <v>81</v>
      </c>
      <c r="AC15" s="1" t="s">
        <v>82</v>
      </c>
      <c r="AD15" s="1" t="s">
        <v>83</v>
      </c>
      <c r="AE15" s="1"/>
      <c r="AF15" s="4">
        <v>43922</v>
      </c>
      <c r="AG15" s="4">
        <v>44012</v>
      </c>
      <c r="AH15" s="1" t="s">
        <v>84</v>
      </c>
    </row>
    <row r="16" spans="1:34" ht="189.95" customHeight="1">
      <c r="A16" s="9" t="s">
        <v>211</v>
      </c>
      <c r="B16" s="9" t="s">
        <v>212</v>
      </c>
      <c r="C16" s="9" t="s">
        <v>213</v>
      </c>
      <c r="D16" s="9" t="s">
        <v>14</v>
      </c>
      <c r="E16" s="9" t="s">
        <v>200</v>
      </c>
      <c r="F16" s="9" t="s">
        <v>63</v>
      </c>
      <c r="G16" s="9" t="s">
        <v>64</v>
      </c>
      <c r="H16" s="9" t="s">
        <v>65</v>
      </c>
      <c r="I16" s="9" t="s">
        <v>214</v>
      </c>
      <c r="J16" s="9" t="s">
        <v>215</v>
      </c>
      <c r="K16" s="9" t="s">
        <v>216</v>
      </c>
      <c r="L16" s="9" t="s">
        <v>217</v>
      </c>
      <c r="M16" s="9" t="s">
        <v>70</v>
      </c>
      <c r="N16" s="9">
        <v>4</v>
      </c>
      <c r="O16" s="9">
        <v>4</v>
      </c>
      <c r="P16" s="9" t="str">
        <f>IF(AD16="Consolidated","Consolidated",IF(OR(N16="",O16=""),"Not assessed",INDEX('Assessment Guide'!$B$5:$F$9,N16,O16)))</f>
        <v>Extreme</v>
      </c>
      <c r="Q16" s="9" t="s">
        <v>218</v>
      </c>
      <c r="R16" s="9" t="s">
        <v>219</v>
      </c>
      <c r="S16" s="9" t="s">
        <v>112</v>
      </c>
      <c r="T16" s="9" t="s">
        <v>113</v>
      </c>
      <c r="U16" s="9" t="s">
        <v>114</v>
      </c>
      <c r="V16" s="9" t="s">
        <v>220</v>
      </c>
      <c r="W16" s="9" t="s">
        <v>19</v>
      </c>
      <c r="X16" s="9" t="s">
        <v>221</v>
      </c>
      <c r="Y16" s="9" t="s">
        <v>78</v>
      </c>
      <c r="Z16" s="9" t="s">
        <v>222</v>
      </c>
      <c r="AA16" s="9" t="s">
        <v>80</v>
      </c>
      <c r="AB16" s="9" t="s">
        <v>81</v>
      </c>
      <c r="AC16" s="9" t="s">
        <v>82</v>
      </c>
      <c r="AD16" s="9" t="s">
        <v>83</v>
      </c>
      <c r="AE16" s="9"/>
      <c r="AF16" s="10">
        <v>43922</v>
      </c>
      <c r="AG16" s="10">
        <v>44012</v>
      </c>
      <c r="AH16" s="9" t="s">
        <v>84</v>
      </c>
    </row>
    <row r="17" spans="1:34" ht="189.95" customHeight="1">
      <c r="A17" s="1" t="s">
        <v>223</v>
      </c>
      <c r="B17" s="1" t="s">
        <v>224</v>
      </c>
      <c r="C17" s="1" t="s">
        <v>225</v>
      </c>
      <c r="D17" s="1" t="s">
        <v>14</v>
      </c>
      <c r="E17" s="1" t="s">
        <v>200</v>
      </c>
      <c r="F17" s="1" t="s">
        <v>63</v>
      </c>
      <c r="G17" s="1" t="s">
        <v>64</v>
      </c>
      <c r="H17" s="1" t="s">
        <v>65</v>
      </c>
      <c r="I17" s="1" t="s">
        <v>226</v>
      </c>
      <c r="J17" s="1" t="s">
        <v>227</v>
      </c>
      <c r="K17" s="1" t="s">
        <v>228</v>
      </c>
      <c r="L17" s="1" t="s">
        <v>229</v>
      </c>
      <c r="M17" s="1" t="s">
        <v>70</v>
      </c>
      <c r="N17" s="1">
        <v>4</v>
      </c>
      <c r="O17" s="1">
        <v>4</v>
      </c>
      <c r="P17" s="1" t="str">
        <f>IF(AD17="Consolidated","Consolidated",IF(OR(N17="",O17=""),"Not assessed",INDEX('Assessment Guide'!$B$5:$F$9,N17,O17)))</f>
        <v>Extreme</v>
      </c>
      <c r="Q17" s="1" t="s">
        <v>230</v>
      </c>
      <c r="R17" s="1" t="s">
        <v>231</v>
      </c>
      <c r="S17" s="1" t="s">
        <v>112</v>
      </c>
      <c r="T17" s="1" t="s">
        <v>113</v>
      </c>
      <c r="U17" s="1" t="s">
        <v>114</v>
      </c>
      <c r="V17" s="1" t="s">
        <v>232</v>
      </c>
      <c r="W17" s="1" t="s">
        <v>19</v>
      </c>
      <c r="X17" s="1" t="s">
        <v>233</v>
      </c>
      <c r="Y17" s="1" t="s">
        <v>78</v>
      </c>
      <c r="Z17" s="1" t="s">
        <v>234</v>
      </c>
      <c r="AA17" s="1" t="s">
        <v>235</v>
      </c>
      <c r="AB17" s="1" t="s">
        <v>81</v>
      </c>
      <c r="AC17" s="1" t="s">
        <v>82</v>
      </c>
      <c r="AD17" s="1" t="s">
        <v>83</v>
      </c>
      <c r="AE17" s="1"/>
      <c r="AF17" s="4">
        <v>43922</v>
      </c>
      <c r="AG17" s="4">
        <v>44012</v>
      </c>
      <c r="AH17" s="1" t="s">
        <v>84</v>
      </c>
    </row>
    <row r="18" spans="1:34" ht="189.95" customHeight="1">
      <c r="A18" s="9" t="s">
        <v>236</v>
      </c>
      <c r="B18" s="9" t="s">
        <v>237</v>
      </c>
      <c r="C18" s="9" t="s">
        <v>238</v>
      </c>
      <c r="D18" s="9" t="s">
        <v>16</v>
      </c>
      <c r="E18" s="9" t="s">
        <v>239</v>
      </c>
      <c r="F18" s="9" t="s">
        <v>104</v>
      </c>
      <c r="G18" s="9" t="s">
        <v>64</v>
      </c>
      <c r="H18" s="9" t="s">
        <v>105</v>
      </c>
      <c r="I18" s="9" t="s">
        <v>240</v>
      </c>
      <c r="J18" s="9" t="s">
        <v>241</v>
      </c>
      <c r="K18" s="9" t="s">
        <v>242</v>
      </c>
      <c r="L18" s="9" t="s">
        <v>243</v>
      </c>
      <c r="M18" s="9" t="s">
        <v>70</v>
      </c>
      <c r="N18" s="9">
        <v>4</v>
      </c>
      <c r="O18" s="9">
        <v>4</v>
      </c>
      <c r="P18" s="9" t="str">
        <f>IF(AD18="Consolidated","Consolidated",IF(OR(N18="",O18=""),"Not assessed",INDEX('Assessment Guide'!$B$5:$F$9,N18,O18)))</f>
        <v>Extreme</v>
      </c>
      <c r="Q18" s="9" t="s">
        <v>244</v>
      </c>
      <c r="R18" s="9" t="s">
        <v>245</v>
      </c>
      <c r="S18" s="9" t="s">
        <v>246</v>
      </c>
      <c r="T18" s="9" t="s">
        <v>113</v>
      </c>
      <c r="U18" s="9" t="s">
        <v>247</v>
      </c>
      <c r="V18" s="9" t="s">
        <v>248</v>
      </c>
      <c r="W18" s="9" t="s">
        <v>17</v>
      </c>
      <c r="X18" s="9" t="s">
        <v>249</v>
      </c>
      <c r="Y18" s="9" t="s">
        <v>117</v>
      </c>
      <c r="Z18" s="9" t="s">
        <v>250</v>
      </c>
      <c r="AA18" s="9" t="s">
        <v>80</v>
      </c>
      <c r="AB18" s="9" t="s">
        <v>251</v>
      </c>
      <c r="AC18" s="9" t="s">
        <v>252</v>
      </c>
      <c r="AD18" s="9" t="s">
        <v>83</v>
      </c>
      <c r="AE18" s="9"/>
      <c r="AF18" s="10">
        <v>43922</v>
      </c>
      <c r="AG18" s="10">
        <v>44012</v>
      </c>
      <c r="AH18" s="9" t="s">
        <v>84</v>
      </c>
    </row>
    <row r="19" spans="1:34" ht="189.95" customHeight="1">
      <c r="A19" s="1" t="s">
        <v>253</v>
      </c>
      <c r="B19" s="1" t="s">
        <v>254</v>
      </c>
      <c r="C19" s="1" t="s">
        <v>255</v>
      </c>
      <c r="D19" s="1" t="s">
        <v>16</v>
      </c>
      <c r="E19" s="1" t="s">
        <v>239</v>
      </c>
      <c r="F19" s="1" t="s">
        <v>256</v>
      </c>
      <c r="G19" s="1" t="s">
        <v>64</v>
      </c>
      <c r="H19" s="1" t="s">
        <v>105</v>
      </c>
      <c r="I19" s="1" t="s">
        <v>257</v>
      </c>
      <c r="J19" s="1" t="s">
        <v>258</v>
      </c>
      <c r="K19" s="1" t="s">
        <v>259</v>
      </c>
      <c r="L19" s="1" t="s">
        <v>260</v>
      </c>
      <c r="M19" s="1" t="s">
        <v>70</v>
      </c>
      <c r="N19" s="1">
        <v>4</v>
      </c>
      <c r="O19" s="1">
        <v>3</v>
      </c>
      <c r="P19" s="1" t="str">
        <f>IF(AD19="Consolidated","Consolidated",IF(OR(N19="",O19=""),"Not assessed",INDEX('Assessment Guide'!$B$5:$F$9,N19,O19)))</f>
        <v>High</v>
      </c>
      <c r="Q19" s="1" t="s">
        <v>261</v>
      </c>
      <c r="R19" s="1" t="s">
        <v>262</v>
      </c>
      <c r="S19" s="1" t="s">
        <v>246</v>
      </c>
      <c r="T19" s="1" t="s">
        <v>113</v>
      </c>
      <c r="U19" s="1" t="s">
        <v>247</v>
      </c>
      <c r="V19" s="1" t="s">
        <v>263</v>
      </c>
      <c r="W19" s="1" t="s">
        <v>17</v>
      </c>
      <c r="X19" s="1" t="s">
        <v>264</v>
      </c>
      <c r="Y19" s="1" t="s">
        <v>117</v>
      </c>
      <c r="Z19" s="1" t="s">
        <v>265</v>
      </c>
      <c r="AA19" s="1" t="s">
        <v>80</v>
      </c>
      <c r="AB19" s="1" t="s">
        <v>266</v>
      </c>
      <c r="AC19" s="1" t="s">
        <v>252</v>
      </c>
      <c r="AD19" s="1" t="s">
        <v>83</v>
      </c>
      <c r="AE19" s="1"/>
      <c r="AF19" s="4">
        <v>43922</v>
      </c>
      <c r="AG19" s="4">
        <v>44012</v>
      </c>
      <c r="AH19" s="1" t="s">
        <v>84</v>
      </c>
    </row>
    <row r="20" spans="1:34" ht="189.95" customHeight="1">
      <c r="A20" s="9" t="s">
        <v>267</v>
      </c>
      <c r="B20" s="9" t="s">
        <v>268</v>
      </c>
      <c r="C20" s="9" t="s">
        <v>269</v>
      </c>
      <c r="D20" s="9" t="s">
        <v>16</v>
      </c>
      <c r="E20" s="9" t="s">
        <v>239</v>
      </c>
      <c r="F20" s="9" t="s">
        <v>256</v>
      </c>
      <c r="G20" s="9" t="s">
        <v>64</v>
      </c>
      <c r="H20" s="9" t="s">
        <v>105</v>
      </c>
      <c r="I20" s="9" t="s">
        <v>270</v>
      </c>
      <c r="J20" s="9" t="s">
        <v>271</v>
      </c>
      <c r="K20" s="9" t="s">
        <v>272</v>
      </c>
      <c r="L20" s="9" t="s">
        <v>273</v>
      </c>
      <c r="M20" s="9" t="s">
        <v>70</v>
      </c>
      <c r="N20" s="9">
        <v>2</v>
      </c>
      <c r="O20" s="9">
        <v>4</v>
      </c>
      <c r="P20" s="9" t="str">
        <f>IF(AD20="Consolidated","Consolidated",IF(OR(N20="",O20=""),"Not assessed",INDEX('Assessment Guide'!$B$5:$F$9,N20,O20)))</f>
        <v>High</v>
      </c>
      <c r="Q20" s="9" t="s">
        <v>274</v>
      </c>
      <c r="R20" s="9" t="s">
        <v>275</v>
      </c>
      <c r="S20" s="9" t="s">
        <v>246</v>
      </c>
      <c r="T20" s="9" t="s">
        <v>113</v>
      </c>
      <c r="U20" s="9" t="s">
        <v>247</v>
      </c>
      <c r="V20" s="9" t="s">
        <v>276</v>
      </c>
      <c r="W20" s="9" t="s">
        <v>17</v>
      </c>
      <c r="X20" s="9" t="s">
        <v>264</v>
      </c>
      <c r="Y20" s="9" t="s">
        <v>117</v>
      </c>
      <c r="Z20" s="9" t="s">
        <v>277</v>
      </c>
      <c r="AA20" s="9" t="s">
        <v>80</v>
      </c>
      <c r="AB20" s="9" t="s">
        <v>266</v>
      </c>
      <c r="AC20" s="9" t="s">
        <v>252</v>
      </c>
      <c r="AD20" s="9" t="s">
        <v>83</v>
      </c>
      <c r="AE20" s="9"/>
      <c r="AF20" s="10">
        <v>43922</v>
      </c>
      <c r="AG20" s="10">
        <v>44012</v>
      </c>
      <c r="AH20" s="9" t="s">
        <v>84</v>
      </c>
    </row>
    <row r="21" spans="1:34" ht="189.95" customHeight="1">
      <c r="A21" s="1" t="s">
        <v>278</v>
      </c>
      <c r="B21" s="1" t="s">
        <v>279</v>
      </c>
      <c r="C21" s="1" t="s">
        <v>280</v>
      </c>
      <c r="D21" s="1" t="s">
        <v>16</v>
      </c>
      <c r="E21" s="1" t="s">
        <v>239</v>
      </c>
      <c r="F21" s="1" t="s">
        <v>104</v>
      </c>
      <c r="G21" s="1" t="s">
        <v>64</v>
      </c>
      <c r="H21" s="1" t="s">
        <v>105</v>
      </c>
      <c r="I21" s="1" t="s">
        <v>281</v>
      </c>
      <c r="J21" s="1" t="s">
        <v>282</v>
      </c>
      <c r="K21" s="1" t="s">
        <v>283</v>
      </c>
      <c r="L21" s="1" t="s">
        <v>284</v>
      </c>
      <c r="M21" s="1" t="s">
        <v>70</v>
      </c>
      <c r="N21" s="1">
        <v>3</v>
      </c>
      <c r="O21" s="1">
        <v>4</v>
      </c>
      <c r="P21" s="1" t="str">
        <f>IF(AD21="Consolidated","Consolidated",IF(OR(N21="",O21=""),"Not assessed",INDEX('Assessment Guide'!$B$5:$F$9,N21,O21)))</f>
        <v>High</v>
      </c>
      <c r="Q21" s="1" t="s">
        <v>285</v>
      </c>
      <c r="R21" s="1" t="s">
        <v>286</v>
      </c>
      <c r="S21" s="1" t="s">
        <v>246</v>
      </c>
      <c r="T21" s="1" t="s">
        <v>113</v>
      </c>
      <c r="U21" s="1" t="s">
        <v>247</v>
      </c>
      <c r="V21" s="1" t="s">
        <v>287</v>
      </c>
      <c r="W21" s="1" t="s">
        <v>17</v>
      </c>
      <c r="X21" s="1" t="s">
        <v>288</v>
      </c>
      <c r="Y21" s="1" t="s">
        <v>117</v>
      </c>
      <c r="Z21" s="1" t="s">
        <v>289</v>
      </c>
      <c r="AA21" s="1" t="s">
        <v>80</v>
      </c>
      <c r="AB21" s="1" t="s">
        <v>251</v>
      </c>
      <c r="AC21" s="1" t="s">
        <v>252</v>
      </c>
      <c r="AD21" s="1" t="s">
        <v>83</v>
      </c>
      <c r="AE21" s="1"/>
      <c r="AF21" s="4">
        <v>43922</v>
      </c>
      <c r="AG21" s="4">
        <v>44012</v>
      </c>
      <c r="AH21" s="1" t="s">
        <v>84</v>
      </c>
    </row>
    <row r="22" spans="1:34" ht="189.95" customHeight="1">
      <c r="A22" s="9" t="s">
        <v>290</v>
      </c>
      <c r="B22" s="9" t="s">
        <v>291</v>
      </c>
      <c r="C22" s="9" t="s">
        <v>292</v>
      </c>
      <c r="D22" s="9" t="s">
        <v>16</v>
      </c>
      <c r="E22" s="9" t="s">
        <v>293</v>
      </c>
      <c r="F22" s="9" t="s">
        <v>294</v>
      </c>
      <c r="G22" s="9" t="s">
        <v>64</v>
      </c>
      <c r="H22" s="9" t="s">
        <v>105</v>
      </c>
      <c r="I22" s="9" t="s">
        <v>295</v>
      </c>
      <c r="J22" s="9" t="s">
        <v>296</v>
      </c>
      <c r="K22" s="9" t="s">
        <v>297</v>
      </c>
      <c r="L22" s="9" t="s">
        <v>298</v>
      </c>
      <c r="M22" s="9" t="s">
        <v>70</v>
      </c>
      <c r="N22" s="9">
        <v>4</v>
      </c>
      <c r="O22" s="9">
        <v>4</v>
      </c>
      <c r="P22" s="9" t="str">
        <f>IF(AD22="Consolidated","Consolidated",IF(OR(N22="",O22=""),"Not assessed",INDEX('Assessment Guide'!$B$5:$F$9,N22,O22)))</f>
        <v>Extreme</v>
      </c>
      <c r="Q22" s="9" t="s">
        <v>299</v>
      </c>
      <c r="R22" s="9" t="s">
        <v>300</v>
      </c>
      <c r="S22" s="9" t="s">
        <v>301</v>
      </c>
      <c r="T22" s="9" t="s">
        <v>113</v>
      </c>
      <c r="U22" s="9" t="s">
        <v>302</v>
      </c>
      <c r="V22" s="9" t="s">
        <v>303</v>
      </c>
      <c r="W22" s="9" t="s">
        <v>17</v>
      </c>
      <c r="X22" s="9" t="s">
        <v>304</v>
      </c>
      <c r="Y22" s="9" t="s">
        <v>117</v>
      </c>
      <c r="Z22" s="9" t="s">
        <v>305</v>
      </c>
      <c r="AA22" s="9" t="s">
        <v>80</v>
      </c>
      <c r="AB22" s="9" t="s">
        <v>306</v>
      </c>
      <c r="AC22" s="9" t="s">
        <v>307</v>
      </c>
      <c r="AD22" s="9" t="s">
        <v>83</v>
      </c>
      <c r="AE22" s="9"/>
      <c r="AF22" s="10">
        <v>43922</v>
      </c>
      <c r="AG22" s="10">
        <v>44012</v>
      </c>
      <c r="AH22" s="9" t="s">
        <v>84</v>
      </c>
    </row>
    <row r="23" spans="1:34" ht="189.95" customHeight="1">
      <c r="A23" s="1" t="s">
        <v>308</v>
      </c>
      <c r="B23" s="1" t="s">
        <v>309</v>
      </c>
      <c r="C23" s="1" t="s">
        <v>310</v>
      </c>
      <c r="D23" s="1" t="s">
        <v>16</v>
      </c>
      <c r="E23" s="1" t="s">
        <v>293</v>
      </c>
      <c r="F23" s="1" t="s">
        <v>63</v>
      </c>
      <c r="G23" s="1" t="s">
        <v>64</v>
      </c>
      <c r="H23" s="1" t="s">
        <v>105</v>
      </c>
      <c r="I23" s="1" t="s">
        <v>311</v>
      </c>
      <c r="J23" s="1" t="s">
        <v>312</v>
      </c>
      <c r="K23" s="1" t="s">
        <v>313</v>
      </c>
      <c r="L23" s="1" t="s">
        <v>314</v>
      </c>
      <c r="M23" s="1" t="s">
        <v>70</v>
      </c>
      <c r="N23" s="1">
        <v>4</v>
      </c>
      <c r="O23" s="1">
        <v>3</v>
      </c>
      <c r="P23" s="1" t="str">
        <f>IF(AD23="Consolidated","Consolidated",IF(OR(N23="",O23=""),"Not assessed",INDEX('Assessment Guide'!$B$5:$F$9,N23,O23)))</f>
        <v>High</v>
      </c>
      <c r="Q23" s="1" t="s">
        <v>315</v>
      </c>
      <c r="R23" s="1" t="s">
        <v>316</v>
      </c>
      <c r="S23" s="1" t="s">
        <v>301</v>
      </c>
      <c r="T23" s="1" t="s">
        <v>113</v>
      </c>
      <c r="U23" s="1" t="s">
        <v>302</v>
      </c>
      <c r="V23" s="1" t="s">
        <v>317</v>
      </c>
      <c r="W23" s="1" t="s">
        <v>15</v>
      </c>
      <c r="X23" s="1" t="s">
        <v>318</v>
      </c>
      <c r="Y23" s="1" t="s">
        <v>78</v>
      </c>
      <c r="Z23" s="1" t="s">
        <v>319</v>
      </c>
      <c r="AA23" s="1" t="s">
        <v>80</v>
      </c>
      <c r="AB23" s="1" t="s">
        <v>306</v>
      </c>
      <c r="AC23" s="1" t="s">
        <v>307</v>
      </c>
      <c r="AD23" s="1" t="s">
        <v>83</v>
      </c>
      <c r="AE23" s="1"/>
      <c r="AF23" s="4">
        <v>43922</v>
      </c>
      <c r="AG23" s="4">
        <v>44012</v>
      </c>
      <c r="AH23" s="1" t="s">
        <v>84</v>
      </c>
    </row>
    <row r="24" spans="1:34" ht="189.95" customHeight="1">
      <c r="A24" s="9" t="s">
        <v>320</v>
      </c>
      <c r="B24" s="9" t="s">
        <v>321</v>
      </c>
      <c r="C24" s="9" t="s">
        <v>322</v>
      </c>
      <c r="D24" s="9" t="s">
        <v>16</v>
      </c>
      <c r="E24" s="9" t="s">
        <v>323</v>
      </c>
      <c r="F24" s="9" t="s">
        <v>294</v>
      </c>
      <c r="G24" s="9" t="s">
        <v>64</v>
      </c>
      <c r="H24" s="9" t="s">
        <v>105</v>
      </c>
      <c r="I24" s="9" t="s">
        <v>324</v>
      </c>
      <c r="J24" s="9" t="s">
        <v>325</v>
      </c>
      <c r="K24" s="9" t="s">
        <v>326</v>
      </c>
      <c r="L24" s="9" t="s">
        <v>327</v>
      </c>
      <c r="M24" s="9" t="s">
        <v>70</v>
      </c>
      <c r="N24" s="9">
        <v>4</v>
      </c>
      <c r="O24" s="9">
        <v>4</v>
      </c>
      <c r="P24" s="9" t="str">
        <f>IF(AD24="Consolidated","Consolidated",IF(OR(N24="",O24=""),"Not assessed",INDEX('Assessment Guide'!$B$5:$F$9,N24,O24)))</f>
        <v>Extreme</v>
      </c>
      <c r="Q24" s="9" t="s">
        <v>328</v>
      </c>
      <c r="R24" s="9" t="s">
        <v>329</v>
      </c>
      <c r="S24" s="9" t="s">
        <v>330</v>
      </c>
      <c r="T24" s="9" t="s">
        <v>113</v>
      </c>
      <c r="U24" s="9" t="s">
        <v>331</v>
      </c>
      <c r="V24" s="9" t="s">
        <v>332</v>
      </c>
      <c r="W24" s="9" t="s">
        <v>17</v>
      </c>
      <c r="X24" s="9" t="s">
        <v>333</v>
      </c>
      <c r="Y24" s="9" t="s">
        <v>117</v>
      </c>
      <c r="Z24" s="9" t="s">
        <v>334</v>
      </c>
      <c r="AA24" s="9" t="s">
        <v>80</v>
      </c>
      <c r="AB24" s="9" t="s">
        <v>306</v>
      </c>
      <c r="AC24" s="9" t="s">
        <v>335</v>
      </c>
      <c r="AD24" s="9" t="s">
        <v>83</v>
      </c>
      <c r="AE24" s="9"/>
      <c r="AF24" s="10">
        <v>43922</v>
      </c>
      <c r="AG24" s="10">
        <v>44012</v>
      </c>
      <c r="AH24" s="9" t="s">
        <v>84</v>
      </c>
    </row>
    <row r="25" spans="1:34" ht="189.95" customHeight="1">
      <c r="A25" s="1" t="s">
        <v>336</v>
      </c>
      <c r="B25" s="1" t="s">
        <v>337</v>
      </c>
      <c r="C25" s="1" t="s">
        <v>338</v>
      </c>
      <c r="D25" s="1" t="s">
        <v>16</v>
      </c>
      <c r="E25" s="1" t="s">
        <v>323</v>
      </c>
      <c r="F25" s="1" t="s">
        <v>294</v>
      </c>
      <c r="G25" s="1" t="s">
        <v>64</v>
      </c>
      <c r="H25" s="1" t="s">
        <v>105</v>
      </c>
      <c r="I25" s="1" t="s">
        <v>339</v>
      </c>
      <c r="J25" s="1" t="s">
        <v>340</v>
      </c>
      <c r="K25" s="1" t="s">
        <v>341</v>
      </c>
      <c r="L25" s="1" t="s">
        <v>342</v>
      </c>
      <c r="M25" s="1" t="s">
        <v>70</v>
      </c>
      <c r="N25" s="1">
        <v>4</v>
      </c>
      <c r="O25" s="1">
        <v>3</v>
      </c>
      <c r="P25" s="1" t="str">
        <f>IF(AD25="Consolidated","Consolidated",IF(OR(N25="",O25=""),"Not assessed",INDEX('Assessment Guide'!$B$5:$F$9,N25,O25)))</f>
        <v>High</v>
      </c>
      <c r="Q25" s="1" t="s">
        <v>343</v>
      </c>
      <c r="R25" s="1" t="s">
        <v>344</v>
      </c>
      <c r="S25" s="1" t="s">
        <v>330</v>
      </c>
      <c r="T25" s="1" t="s">
        <v>113</v>
      </c>
      <c r="U25" s="1" t="s">
        <v>331</v>
      </c>
      <c r="V25" s="1" t="s">
        <v>345</v>
      </c>
      <c r="W25" s="1" t="s">
        <v>17</v>
      </c>
      <c r="X25" s="1" t="s">
        <v>346</v>
      </c>
      <c r="Y25" s="1" t="s">
        <v>117</v>
      </c>
      <c r="Z25" s="1" t="s">
        <v>347</v>
      </c>
      <c r="AA25" s="1" t="s">
        <v>80</v>
      </c>
      <c r="AB25" s="1" t="s">
        <v>306</v>
      </c>
      <c r="AC25" s="1" t="s">
        <v>335</v>
      </c>
      <c r="AD25" s="1" t="s">
        <v>83</v>
      </c>
      <c r="AE25" s="1"/>
      <c r="AF25" s="4">
        <v>43922</v>
      </c>
      <c r="AG25" s="4">
        <v>44012</v>
      </c>
      <c r="AH25" s="1" t="s">
        <v>84</v>
      </c>
    </row>
    <row r="26" spans="1:34" ht="189.95" customHeight="1">
      <c r="A26" s="9" t="s">
        <v>348</v>
      </c>
      <c r="B26" s="9" t="s">
        <v>349</v>
      </c>
      <c r="C26" s="9" t="s">
        <v>350</v>
      </c>
      <c r="D26" s="9" t="s">
        <v>16</v>
      </c>
      <c r="E26" s="9" t="s">
        <v>323</v>
      </c>
      <c r="F26" s="9" t="s">
        <v>294</v>
      </c>
      <c r="G26" s="9" t="s">
        <v>64</v>
      </c>
      <c r="H26" s="9" t="s">
        <v>105</v>
      </c>
      <c r="I26" s="9" t="s">
        <v>351</v>
      </c>
      <c r="J26" s="9" t="s">
        <v>352</v>
      </c>
      <c r="K26" s="9" t="s">
        <v>353</v>
      </c>
      <c r="L26" s="9" t="s">
        <v>354</v>
      </c>
      <c r="M26" s="9" t="s">
        <v>70</v>
      </c>
      <c r="N26" s="9">
        <v>3</v>
      </c>
      <c r="O26" s="9">
        <v>4</v>
      </c>
      <c r="P26" s="9" t="str">
        <f>IF(AD26="Consolidated","Consolidated",IF(OR(N26="",O26=""),"Not assessed",INDEX('Assessment Guide'!$B$5:$F$9,N26,O26)))</f>
        <v>High</v>
      </c>
      <c r="Q26" s="9" t="s">
        <v>355</v>
      </c>
      <c r="R26" s="9" t="s">
        <v>356</v>
      </c>
      <c r="S26" s="9" t="s">
        <v>330</v>
      </c>
      <c r="T26" s="9" t="s">
        <v>113</v>
      </c>
      <c r="U26" s="9" t="s">
        <v>331</v>
      </c>
      <c r="V26" s="9" t="s">
        <v>357</v>
      </c>
      <c r="W26" s="9" t="s">
        <v>17</v>
      </c>
      <c r="X26" s="9" t="s">
        <v>358</v>
      </c>
      <c r="Y26" s="9" t="s">
        <v>117</v>
      </c>
      <c r="Z26" s="9" t="s">
        <v>359</v>
      </c>
      <c r="AA26" s="9" t="s">
        <v>80</v>
      </c>
      <c r="AB26" s="9" t="s">
        <v>306</v>
      </c>
      <c r="AC26" s="9" t="s">
        <v>335</v>
      </c>
      <c r="AD26" s="9" t="s">
        <v>83</v>
      </c>
      <c r="AE26" s="9"/>
      <c r="AF26" s="10">
        <v>43922</v>
      </c>
      <c r="AG26" s="10">
        <v>44012</v>
      </c>
      <c r="AH26" s="9" t="s">
        <v>84</v>
      </c>
    </row>
    <row r="27" spans="1:34" ht="189.95" customHeight="1">
      <c r="A27" s="1" t="s">
        <v>360</v>
      </c>
      <c r="B27" s="1" t="s">
        <v>361</v>
      </c>
      <c r="C27" s="1" t="s">
        <v>362</v>
      </c>
      <c r="D27" s="1" t="s">
        <v>16</v>
      </c>
      <c r="E27" s="1" t="s">
        <v>323</v>
      </c>
      <c r="F27" s="1" t="s">
        <v>256</v>
      </c>
      <c r="G27" s="1" t="s">
        <v>64</v>
      </c>
      <c r="H27" s="1" t="s">
        <v>105</v>
      </c>
      <c r="I27" s="1" t="s">
        <v>363</v>
      </c>
      <c r="J27" s="1" t="s">
        <v>364</v>
      </c>
      <c r="K27" s="1" t="s">
        <v>365</v>
      </c>
      <c r="L27" s="1" t="s">
        <v>366</v>
      </c>
      <c r="M27" s="1" t="s">
        <v>70</v>
      </c>
      <c r="N27" s="1">
        <v>3</v>
      </c>
      <c r="O27" s="1">
        <v>4</v>
      </c>
      <c r="P27" s="1" t="str">
        <f>IF(AD27="Consolidated","Consolidated",IF(OR(N27="",O27=""),"Not assessed",INDEX('Assessment Guide'!$B$5:$F$9,N27,O27)))</f>
        <v>High</v>
      </c>
      <c r="Q27" s="1" t="s">
        <v>367</v>
      </c>
      <c r="R27" s="1" t="s">
        <v>368</v>
      </c>
      <c r="S27" s="1" t="s">
        <v>246</v>
      </c>
      <c r="T27" s="1" t="s">
        <v>113</v>
      </c>
      <c r="U27" s="1" t="s">
        <v>247</v>
      </c>
      <c r="V27" s="1" t="s">
        <v>369</v>
      </c>
      <c r="W27" s="1" t="s">
        <v>17</v>
      </c>
      <c r="X27" s="1" t="s">
        <v>370</v>
      </c>
      <c r="Y27" s="1" t="s">
        <v>117</v>
      </c>
      <c r="Z27" s="1" t="s">
        <v>371</v>
      </c>
      <c r="AA27" s="1" t="s">
        <v>80</v>
      </c>
      <c r="AB27" s="1" t="s">
        <v>306</v>
      </c>
      <c r="AC27" s="1" t="s">
        <v>252</v>
      </c>
      <c r="AD27" s="1" t="s">
        <v>83</v>
      </c>
      <c r="AE27" s="1"/>
      <c r="AF27" s="4">
        <v>43922</v>
      </c>
      <c r="AG27" s="4">
        <v>44012</v>
      </c>
      <c r="AH27" s="1" t="s">
        <v>84</v>
      </c>
    </row>
    <row r="28" spans="1:34" ht="189.95" customHeight="1">
      <c r="A28" s="9" t="s">
        <v>372</v>
      </c>
      <c r="B28" s="9" t="s">
        <v>373</v>
      </c>
      <c r="C28" s="9" t="s">
        <v>374</v>
      </c>
      <c r="D28" s="9" t="s">
        <v>16</v>
      </c>
      <c r="E28" s="9" t="s">
        <v>323</v>
      </c>
      <c r="F28" s="9" t="s">
        <v>104</v>
      </c>
      <c r="G28" s="9" t="s">
        <v>375</v>
      </c>
      <c r="H28" s="9" t="s">
        <v>376</v>
      </c>
      <c r="I28" s="9" t="s">
        <v>377</v>
      </c>
      <c r="J28" s="9" t="s">
        <v>378</v>
      </c>
      <c r="K28" s="9" t="s">
        <v>379</v>
      </c>
      <c r="L28" s="9" t="s">
        <v>380</v>
      </c>
      <c r="M28" s="9" t="s">
        <v>70</v>
      </c>
      <c r="N28" s="9"/>
      <c r="O28" s="9"/>
      <c r="P28" s="9" t="str">
        <f>IF(AD28="Consolidated","Consolidated",IF(OR(N28="",O28=""),"Not assessed",INDEX('Assessment Guide'!$B$5:$F$9,N28,O28)))</f>
        <v>Consolidated</v>
      </c>
      <c r="Q28" s="9" t="s">
        <v>381</v>
      </c>
      <c r="R28" s="9" t="s">
        <v>382</v>
      </c>
      <c r="S28" s="9" t="s">
        <v>330</v>
      </c>
      <c r="T28" s="9" t="s">
        <v>113</v>
      </c>
      <c r="U28" s="9" t="s">
        <v>331</v>
      </c>
      <c r="V28" s="9" t="s">
        <v>383</v>
      </c>
      <c r="W28" s="9" t="s">
        <v>384</v>
      </c>
      <c r="X28" s="9" t="s">
        <v>385</v>
      </c>
      <c r="Y28" s="9" t="s">
        <v>117</v>
      </c>
      <c r="Z28" s="9" t="s">
        <v>386</v>
      </c>
      <c r="AA28" s="9" t="s">
        <v>80</v>
      </c>
      <c r="AB28" s="9" t="s">
        <v>306</v>
      </c>
      <c r="AC28" s="9" t="s">
        <v>335</v>
      </c>
      <c r="AD28" s="9" t="s">
        <v>376</v>
      </c>
      <c r="AE28" s="9" t="s">
        <v>387</v>
      </c>
      <c r="AF28" s="10">
        <v>43922</v>
      </c>
      <c r="AG28" s="10">
        <v>44012</v>
      </c>
      <c r="AH28" s="9" t="s">
        <v>84</v>
      </c>
    </row>
    <row r="29" spans="1:34" ht="189.95" customHeight="1">
      <c r="A29" s="1" t="s">
        <v>388</v>
      </c>
      <c r="B29" s="1" t="s">
        <v>389</v>
      </c>
      <c r="C29" s="1" t="s">
        <v>390</v>
      </c>
      <c r="D29" s="1" t="s">
        <v>16</v>
      </c>
      <c r="E29" s="1" t="s">
        <v>391</v>
      </c>
      <c r="F29" s="1" t="s">
        <v>104</v>
      </c>
      <c r="G29" s="1" t="s">
        <v>64</v>
      </c>
      <c r="H29" s="1" t="s">
        <v>105</v>
      </c>
      <c r="I29" s="1" t="s">
        <v>392</v>
      </c>
      <c r="J29" s="1" t="s">
        <v>393</v>
      </c>
      <c r="K29" s="1" t="s">
        <v>394</v>
      </c>
      <c r="L29" s="1" t="s">
        <v>395</v>
      </c>
      <c r="M29" s="1" t="s">
        <v>70</v>
      </c>
      <c r="N29" s="1">
        <v>3</v>
      </c>
      <c r="O29" s="1">
        <v>4</v>
      </c>
      <c r="P29" s="1" t="str">
        <f>IF(AD29="Consolidated","Consolidated",IF(OR(N29="",O29=""),"Not assessed",INDEX('Assessment Guide'!$B$5:$F$9,N29,O29)))</f>
        <v>High</v>
      </c>
      <c r="Q29" s="1" t="s">
        <v>396</v>
      </c>
      <c r="R29" s="1" t="s">
        <v>397</v>
      </c>
      <c r="S29" s="1" t="s">
        <v>330</v>
      </c>
      <c r="T29" s="1" t="s">
        <v>113</v>
      </c>
      <c r="U29" s="1" t="s">
        <v>331</v>
      </c>
      <c r="V29" s="1" t="s">
        <v>398</v>
      </c>
      <c r="W29" s="1" t="s">
        <v>17</v>
      </c>
      <c r="X29" s="1" t="s">
        <v>399</v>
      </c>
      <c r="Y29" s="1" t="s">
        <v>117</v>
      </c>
      <c r="Z29" s="1" t="s">
        <v>400</v>
      </c>
      <c r="AA29" s="1" t="s">
        <v>80</v>
      </c>
      <c r="AB29" s="1" t="s">
        <v>306</v>
      </c>
      <c r="AC29" s="1" t="s">
        <v>335</v>
      </c>
      <c r="AD29" s="1" t="s">
        <v>83</v>
      </c>
      <c r="AE29" s="1"/>
      <c r="AF29" s="4">
        <v>43922</v>
      </c>
      <c r="AG29" s="4">
        <v>44012</v>
      </c>
      <c r="AH29" s="1" t="s">
        <v>84</v>
      </c>
    </row>
    <row r="30" spans="1:34" ht="189.95" customHeight="1">
      <c r="A30" s="9" t="s">
        <v>401</v>
      </c>
      <c r="B30" s="9" t="s">
        <v>402</v>
      </c>
      <c r="C30" s="9" t="s">
        <v>403</v>
      </c>
      <c r="D30" s="9" t="s">
        <v>16</v>
      </c>
      <c r="E30" s="9" t="s">
        <v>391</v>
      </c>
      <c r="F30" s="9" t="s">
        <v>88</v>
      </c>
      <c r="G30" s="9" t="s">
        <v>64</v>
      </c>
      <c r="H30" s="9" t="s">
        <v>105</v>
      </c>
      <c r="I30" s="9" t="s">
        <v>404</v>
      </c>
      <c r="J30" s="9" t="s">
        <v>405</v>
      </c>
      <c r="K30" s="9" t="s">
        <v>406</v>
      </c>
      <c r="L30" s="9" t="s">
        <v>407</v>
      </c>
      <c r="M30" s="9" t="s">
        <v>70</v>
      </c>
      <c r="N30" s="9">
        <v>3</v>
      </c>
      <c r="O30" s="9">
        <v>4</v>
      </c>
      <c r="P30" s="9" t="str">
        <f>IF(AD30="Consolidated","Consolidated",IF(OR(N30="",O30=""),"Not assessed",INDEX('Assessment Guide'!$B$5:$F$9,N30,O30)))</f>
        <v>High</v>
      </c>
      <c r="Q30" s="9" t="s">
        <v>408</v>
      </c>
      <c r="R30" s="9" t="s">
        <v>409</v>
      </c>
      <c r="S30" s="9" t="s">
        <v>410</v>
      </c>
      <c r="T30" s="9" t="s">
        <v>113</v>
      </c>
      <c r="U30" s="9" t="s">
        <v>411</v>
      </c>
      <c r="V30" s="9" t="s">
        <v>412</v>
      </c>
      <c r="W30" s="9" t="s">
        <v>17</v>
      </c>
      <c r="X30" s="9" t="s">
        <v>413</v>
      </c>
      <c r="Y30" s="9" t="s">
        <v>78</v>
      </c>
      <c r="Z30" s="9" t="s">
        <v>414</v>
      </c>
      <c r="AA30" s="9" t="s">
        <v>80</v>
      </c>
      <c r="AB30" s="9" t="s">
        <v>251</v>
      </c>
      <c r="AC30" s="9" t="s">
        <v>335</v>
      </c>
      <c r="AD30" s="9" t="s">
        <v>83</v>
      </c>
      <c r="AE30" s="9"/>
      <c r="AF30" s="10">
        <v>43922</v>
      </c>
      <c r="AG30" s="10">
        <v>44012</v>
      </c>
      <c r="AH30" s="9" t="s">
        <v>84</v>
      </c>
    </row>
    <row r="31" spans="1:34" ht="189.95" customHeight="1">
      <c r="A31" s="1" t="s">
        <v>415</v>
      </c>
      <c r="B31" s="1" t="s">
        <v>416</v>
      </c>
      <c r="C31" s="1" t="s">
        <v>417</v>
      </c>
      <c r="D31" s="1" t="s">
        <v>16</v>
      </c>
      <c r="E31" s="1" t="s">
        <v>391</v>
      </c>
      <c r="F31" s="1" t="s">
        <v>104</v>
      </c>
      <c r="G31" s="1" t="s">
        <v>375</v>
      </c>
      <c r="H31" s="1" t="s">
        <v>376</v>
      </c>
      <c r="I31" s="1" t="s">
        <v>418</v>
      </c>
      <c r="J31" s="1" t="s">
        <v>419</v>
      </c>
      <c r="K31" s="1" t="s">
        <v>420</v>
      </c>
      <c r="L31" s="1" t="s">
        <v>421</v>
      </c>
      <c r="M31" s="1" t="s">
        <v>70</v>
      </c>
      <c r="N31" s="1"/>
      <c r="O31" s="1"/>
      <c r="P31" s="1" t="str">
        <f>IF(AD31="Consolidated","Consolidated",IF(OR(N31="",O31=""),"Not assessed",INDEX('Assessment Guide'!$B$5:$F$9,N31,O31)))</f>
        <v>Consolidated</v>
      </c>
      <c r="Q31" s="1" t="s">
        <v>422</v>
      </c>
      <c r="R31" s="1" t="s">
        <v>423</v>
      </c>
      <c r="S31" s="1" t="s">
        <v>330</v>
      </c>
      <c r="T31" s="1" t="s">
        <v>113</v>
      </c>
      <c r="U31" s="1" t="s">
        <v>331</v>
      </c>
      <c r="V31" s="1" t="s">
        <v>424</v>
      </c>
      <c r="W31" s="1" t="s">
        <v>384</v>
      </c>
      <c r="X31" s="1" t="s">
        <v>425</v>
      </c>
      <c r="Y31" s="1" t="s">
        <v>117</v>
      </c>
      <c r="Z31" s="1" t="s">
        <v>426</v>
      </c>
      <c r="AA31" s="1" t="s">
        <v>80</v>
      </c>
      <c r="AB31" s="1" t="s">
        <v>306</v>
      </c>
      <c r="AC31" s="1" t="s">
        <v>335</v>
      </c>
      <c r="AD31" s="1" t="s">
        <v>376</v>
      </c>
      <c r="AE31" s="1" t="s">
        <v>388</v>
      </c>
      <c r="AF31" s="4">
        <v>43922</v>
      </c>
      <c r="AG31" s="4">
        <v>44012</v>
      </c>
      <c r="AH31" s="1" t="s">
        <v>84</v>
      </c>
    </row>
    <row r="32" spans="1:34" ht="189.95" customHeight="1">
      <c r="A32" s="9" t="s">
        <v>427</v>
      </c>
      <c r="B32" s="9" t="s">
        <v>428</v>
      </c>
      <c r="C32" s="9" t="s">
        <v>429</v>
      </c>
      <c r="D32" s="9" t="s">
        <v>18</v>
      </c>
      <c r="E32" s="9" t="s">
        <v>430</v>
      </c>
      <c r="F32" s="9" t="s">
        <v>256</v>
      </c>
      <c r="G32" s="9" t="s">
        <v>64</v>
      </c>
      <c r="H32" s="9" t="s">
        <v>105</v>
      </c>
      <c r="I32" s="9" t="s">
        <v>431</v>
      </c>
      <c r="J32" s="9" t="s">
        <v>432</v>
      </c>
      <c r="K32" s="9" t="s">
        <v>433</v>
      </c>
      <c r="L32" s="9" t="s">
        <v>434</v>
      </c>
      <c r="M32" s="9" t="s">
        <v>70</v>
      </c>
      <c r="N32" s="9">
        <v>4</v>
      </c>
      <c r="O32" s="9">
        <v>3</v>
      </c>
      <c r="P32" s="9" t="str">
        <f>IF(AD32="Consolidated","Consolidated",IF(OR(N32="",O32=""),"Not assessed",INDEX('Assessment Guide'!$B$5:$F$9,N32,O32)))</f>
        <v>High</v>
      </c>
      <c r="Q32" s="9" t="s">
        <v>435</v>
      </c>
      <c r="R32" s="9" t="s">
        <v>436</v>
      </c>
      <c r="S32" s="9" t="s">
        <v>437</v>
      </c>
      <c r="T32" s="9" t="s">
        <v>113</v>
      </c>
      <c r="U32" s="9" t="s">
        <v>438</v>
      </c>
      <c r="V32" s="9" t="s">
        <v>439</v>
      </c>
      <c r="W32" s="9" t="s">
        <v>17</v>
      </c>
      <c r="X32" s="9" t="s">
        <v>440</v>
      </c>
      <c r="Y32" s="9" t="s">
        <v>117</v>
      </c>
      <c r="Z32" s="9" t="s">
        <v>441</v>
      </c>
      <c r="AA32" s="9" t="s">
        <v>80</v>
      </c>
      <c r="AB32" s="9" t="s">
        <v>147</v>
      </c>
      <c r="AC32" s="9" t="s">
        <v>442</v>
      </c>
      <c r="AD32" s="9" t="s">
        <v>83</v>
      </c>
      <c r="AE32" s="9"/>
      <c r="AF32" s="10">
        <v>43922</v>
      </c>
      <c r="AG32" s="10">
        <v>44012</v>
      </c>
      <c r="AH32" s="9" t="s">
        <v>84</v>
      </c>
    </row>
    <row r="33" spans="1:34" ht="189.95" customHeight="1">
      <c r="A33" s="1" t="s">
        <v>443</v>
      </c>
      <c r="B33" s="1" t="s">
        <v>444</v>
      </c>
      <c r="C33" s="1" t="s">
        <v>445</v>
      </c>
      <c r="D33" s="1" t="s">
        <v>18</v>
      </c>
      <c r="E33" s="1" t="s">
        <v>430</v>
      </c>
      <c r="F33" s="1" t="s">
        <v>135</v>
      </c>
      <c r="G33" s="1" t="s">
        <v>64</v>
      </c>
      <c r="H33" s="1" t="s">
        <v>105</v>
      </c>
      <c r="I33" s="1" t="s">
        <v>446</v>
      </c>
      <c r="J33" s="1" t="s">
        <v>447</v>
      </c>
      <c r="K33" s="1" t="s">
        <v>448</v>
      </c>
      <c r="L33" s="1" t="s">
        <v>449</v>
      </c>
      <c r="M33" s="1" t="s">
        <v>70</v>
      </c>
      <c r="N33" s="1">
        <v>3</v>
      </c>
      <c r="O33" s="1">
        <v>3</v>
      </c>
      <c r="P33" s="1" t="str">
        <f>IF(AD33="Consolidated","Consolidated",IF(OR(N33="",O33=""),"Not assessed",INDEX('Assessment Guide'!$B$5:$F$9,N33,O33)))</f>
        <v>Moderate</v>
      </c>
      <c r="Q33" s="1" t="s">
        <v>450</v>
      </c>
      <c r="R33" s="1" t="s">
        <v>451</v>
      </c>
      <c r="S33" s="1" t="s">
        <v>452</v>
      </c>
      <c r="T33" s="1" t="s">
        <v>113</v>
      </c>
      <c r="U33" s="1" t="s">
        <v>453</v>
      </c>
      <c r="V33" s="1" t="s">
        <v>454</v>
      </c>
      <c r="W33" s="1" t="s">
        <v>17</v>
      </c>
      <c r="X33" s="1" t="s">
        <v>455</v>
      </c>
      <c r="Y33" s="1" t="s">
        <v>117</v>
      </c>
      <c r="Z33" s="1" t="s">
        <v>456</v>
      </c>
      <c r="AA33" s="1" t="s">
        <v>80</v>
      </c>
      <c r="AB33" s="1" t="s">
        <v>457</v>
      </c>
      <c r="AC33" s="1" t="s">
        <v>458</v>
      </c>
      <c r="AD33" s="1" t="s">
        <v>83</v>
      </c>
      <c r="AE33" s="1"/>
      <c r="AF33" s="4">
        <v>43922</v>
      </c>
      <c r="AG33" s="4">
        <v>44012</v>
      </c>
      <c r="AH33" s="1" t="s">
        <v>84</v>
      </c>
    </row>
    <row r="34" spans="1:34" ht="189.95" customHeight="1">
      <c r="A34" s="9" t="s">
        <v>459</v>
      </c>
      <c r="B34" s="9" t="s">
        <v>460</v>
      </c>
      <c r="C34" s="9" t="s">
        <v>461</v>
      </c>
      <c r="D34" s="9" t="s">
        <v>18</v>
      </c>
      <c r="E34" s="9" t="s">
        <v>462</v>
      </c>
      <c r="F34" s="9" t="s">
        <v>104</v>
      </c>
      <c r="G34" s="9" t="s">
        <v>64</v>
      </c>
      <c r="H34" s="9" t="s">
        <v>105</v>
      </c>
      <c r="I34" s="9" t="s">
        <v>463</v>
      </c>
      <c r="J34" s="9" t="s">
        <v>464</v>
      </c>
      <c r="K34" s="9" t="s">
        <v>465</v>
      </c>
      <c r="L34" s="9" t="s">
        <v>466</v>
      </c>
      <c r="M34" s="9" t="s">
        <v>70</v>
      </c>
      <c r="N34" s="9">
        <v>3</v>
      </c>
      <c r="O34" s="9">
        <v>4</v>
      </c>
      <c r="P34" s="9" t="str">
        <f>IF(AD34="Consolidated","Consolidated",IF(OR(N34="",O34=""),"Not assessed",INDEX('Assessment Guide'!$B$5:$F$9,N34,O34)))</f>
        <v>High</v>
      </c>
      <c r="Q34" s="9" t="s">
        <v>467</v>
      </c>
      <c r="R34" s="9" t="s">
        <v>468</v>
      </c>
      <c r="S34" s="9" t="s">
        <v>452</v>
      </c>
      <c r="T34" s="9" t="s">
        <v>113</v>
      </c>
      <c r="U34" s="9" t="s">
        <v>453</v>
      </c>
      <c r="V34" s="9" t="s">
        <v>469</v>
      </c>
      <c r="W34" s="9" t="s">
        <v>17</v>
      </c>
      <c r="X34" s="9" t="s">
        <v>470</v>
      </c>
      <c r="Y34" s="9" t="s">
        <v>117</v>
      </c>
      <c r="Z34" s="9" t="s">
        <v>471</v>
      </c>
      <c r="AA34" s="9" t="s">
        <v>80</v>
      </c>
      <c r="AB34" s="9" t="s">
        <v>472</v>
      </c>
      <c r="AC34" s="9" t="s">
        <v>458</v>
      </c>
      <c r="AD34" s="9" t="s">
        <v>83</v>
      </c>
      <c r="AE34" s="9"/>
      <c r="AF34" s="10">
        <v>43922</v>
      </c>
      <c r="AG34" s="10">
        <v>44012</v>
      </c>
      <c r="AH34" s="9" t="s">
        <v>84</v>
      </c>
    </row>
    <row r="35" spans="1:34" ht="189.95" customHeight="1">
      <c r="A35" s="1" t="s">
        <v>473</v>
      </c>
      <c r="B35" s="1" t="s">
        <v>474</v>
      </c>
      <c r="C35" s="1" t="s">
        <v>475</v>
      </c>
      <c r="D35" s="1" t="s">
        <v>18</v>
      </c>
      <c r="E35" s="1" t="s">
        <v>462</v>
      </c>
      <c r="F35" s="1" t="s">
        <v>256</v>
      </c>
      <c r="G35" s="1" t="s">
        <v>64</v>
      </c>
      <c r="H35" s="1" t="s">
        <v>105</v>
      </c>
      <c r="I35" s="1" t="s">
        <v>476</v>
      </c>
      <c r="J35" s="1" t="s">
        <v>477</v>
      </c>
      <c r="K35" s="1" t="s">
        <v>478</v>
      </c>
      <c r="L35" s="1" t="s">
        <v>479</v>
      </c>
      <c r="M35" s="1" t="s">
        <v>70</v>
      </c>
      <c r="N35" s="1">
        <v>4</v>
      </c>
      <c r="O35" s="1">
        <v>3</v>
      </c>
      <c r="P35" s="1" t="str">
        <f>IF(AD35="Consolidated","Consolidated",IF(OR(N35="",O35=""),"Not assessed",INDEX('Assessment Guide'!$B$5:$F$9,N35,O35)))</f>
        <v>High</v>
      </c>
      <c r="Q35" s="1" t="s">
        <v>480</v>
      </c>
      <c r="R35" s="1" t="s">
        <v>481</v>
      </c>
      <c r="S35" s="1" t="s">
        <v>246</v>
      </c>
      <c r="T35" s="1" t="s">
        <v>113</v>
      </c>
      <c r="U35" s="1" t="s">
        <v>247</v>
      </c>
      <c r="V35" s="1" t="s">
        <v>482</v>
      </c>
      <c r="W35" s="1" t="s">
        <v>17</v>
      </c>
      <c r="X35" s="1" t="s">
        <v>483</v>
      </c>
      <c r="Y35" s="1" t="s">
        <v>117</v>
      </c>
      <c r="Z35" s="1" t="s">
        <v>484</v>
      </c>
      <c r="AA35" s="1" t="s">
        <v>80</v>
      </c>
      <c r="AB35" s="1" t="s">
        <v>266</v>
      </c>
      <c r="AC35" s="1" t="s">
        <v>252</v>
      </c>
      <c r="AD35" s="1" t="s">
        <v>83</v>
      </c>
      <c r="AE35" s="1"/>
      <c r="AF35" s="4">
        <v>43922</v>
      </c>
      <c r="AG35" s="4">
        <v>44012</v>
      </c>
      <c r="AH35" s="1" t="s">
        <v>84</v>
      </c>
    </row>
    <row r="36" spans="1:34" ht="189.95" customHeight="1">
      <c r="A36" s="9" t="s">
        <v>485</v>
      </c>
      <c r="B36" s="9" t="s">
        <v>486</v>
      </c>
      <c r="C36" s="9" t="s">
        <v>487</v>
      </c>
      <c r="D36" s="9" t="s">
        <v>18</v>
      </c>
      <c r="E36" s="9" t="s">
        <v>488</v>
      </c>
      <c r="F36" s="9" t="s">
        <v>256</v>
      </c>
      <c r="G36" s="9" t="s">
        <v>64</v>
      </c>
      <c r="H36" s="9" t="s">
        <v>105</v>
      </c>
      <c r="I36" s="9" t="s">
        <v>489</v>
      </c>
      <c r="J36" s="9" t="s">
        <v>490</v>
      </c>
      <c r="K36" s="9" t="s">
        <v>491</v>
      </c>
      <c r="L36" s="9" t="s">
        <v>492</v>
      </c>
      <c r="M36" s="9" t="s">
        <v>70</v>
      </c>
      <c r="N36" s="9">
        <v>4</v>
      </c>
      <c r="O36" s="9">
        <v>3</v>
      </c>
      <c r="P36" s="9" t="str">
        <f>IF(AD36="Consolidated","Consolidated",IF(OR(N36="",O36=""),"Not assessed",INDEX('Assessment Guide'!$B$5:$F$9,N36,O36)))</f>
        <v>High</v>
      </c>
      <c r="Q36" s="9" t="s">
        <v>493</v>
      </c>
      <c r="R36" s="9" t="s">
        <v>494</v>
      </c>
      <c r="S36" s="9" t="s">
        <v>142</v>
      </c>
      <c r="T36" s="9" t="s">
        <v>113</v>
      </c>
      <c r="U36" s="9" t="s">
        <v>143</v>
      </c>
      <c r="V36" s="9" t="s">
        <v>495</v>
      </c>
      <c r="W36" s="9" t="s">
        <v>17</v>
      </c>
      <c r="X36" s="9" t="s">
        <v>496</v>
      </c>
      <c r="Y36" s="9" t="s">
        <v>117</v>
      </c>
      <c r="Z36" s="9" t="s">
        <v>497</v>
      </c>
      <c r="AA36" s="9" t="s">
        <v>80</v>
      </c>
      <c r="AB36" s="9" t="s">
        <v>147</v>
      </c>
      <c r="AC36" s="9" t="s">
        <v>148</v>
      </c>
      <c r="AD36" s="9" t="s">
        <v>83</v>
      </c>
      <c r="AE36" s="9"/>
      <c r="AF36" s="10">
        <v>43922</v>
      </c>
      <c r="AG36" s="10">
        <v>44012</v>
      </c>
      <c r="AH36" s="9" t="s">
        <v>84</v>
      </c>
    </row>
    <row r="37" spans="1:34" ht="189.95" customHeight="1">
      <c r="A37" s="1" t="s">
        <v>498</v>
      </c>
      <c r="B37" s="1" t="s">
        <v>499</v>
      </c>
      <c r="C37" s="1" t="s">
        <v>500</v>
      </c>
      <c r="D37" s="1" t="s">
        <v>18</v>
      </c>
      <c r="E37" s="1" t="s">
        <v>488</v>
      </c>
      <c r="F37" s="1" t="s">
        <v>294</v>
      </c>
      <c r="G37" s="1" t="s">
        <v>64</v>
      </c>
      <c r="H37" s="1" t="s">
        <v>105</v>
      </c>
      <c r="I37" s="1" t="s">
        <v>501</v>
      </c>
      <c r="J37" s="1" t="s">
        <v>502</v>
      </c>
      <c r="K37" s="1" t="s">
        <v>503</v>
      </c>
      <c r="L37" s="1" t="s">
        <v>504</v>
      </c>
      <c r="M37" s="1" t="s">
        <v>70</v>
      </c>
      <c r="N37" s="1">
        <v>3</v>
      </c>
      <c r="O37" s="1">
        <v>5</v>
      </c>
      <c r="P37" s="1" t="str">
        <f>IF(AD37="Consolidated","Consolidated",IF(OR(N37="",O37=""),"Not assessed",INDEX('Assessment Guide'!$B$5:$F$9,N37,O37)))</f>
        <v>Extreme</v>
      </c>
      <c r="Q37" s="1" t="s">
        <v>505</v>
      </c>
      <c r="R37" s="1" t="s">
        <v>506</v>
      </c>
      <c r="S37" s="1" t="s">
        <v>330</v>
      </c>
      <c r="T37" s="1" t="s">
        <v>113</v>
      </c>
      <c r="U37" s="1" t="s">
        <v>331</v>
      </c>
      <c r="V37" s="1" t="s">
        <v>507</v>
      </c>
      <c r="W37" s="1" t="s">
        <v>17</v>
      </c>
      <c r="X37" s="1" t="s">
        <v>508</v>
      </c>
      <c r="Y37" s="1" t="s">
        <v>117</v>
      </c>
      <c r="Z37" s="1" t="s">
        <v>509</v>
      </c>
      <c r="AA37" s="1" t="s">
        <v>80</v>
      </c>
      <c r="AB37" s="1" t="s">
        <v>306</v>
      </c>
      <c r="AC37" s="1" t="s">
        <v>335</v>
      </c>
      <c r="AD37" s="1" t="s">
        <v>83</v>
      </c>
      <c r="AE37" s="1"/>
      <c r="AF37" s="4">
        <v>43922</v>
      </c>
      <c r="AG37" s="4">
        <v>44012</v>
      </c>
      <c r="AH37" s="1" t="s">
        <v>84</v>
      </c>
    </row>
    <row r="38" spans="1:34" ht="189.95" customHeight="1">
      <c r="A38" s="9" t="s">
        <v>510</v>
      </c>
      <c r="B38" s="9" t="s">
        <v>511</v>
      </c>
      <c r="C38" s="9" t="s">
        <v>512</v>
      </c>
      <c r="D38" s="9" t="s">
        <v>18</v>
      </c>
      <c r="E38" s="9" t="s">
        <v>488</v>
      </c>
      <c r="F38" s="9" t="s">
        <v>104</v>
      </c>
      <c r="G38" s="9" t="s">
        <v>64</v>
      </c>
      <c r="H38" s="9" t="s">
        <v>105</v>
      </c>
      <c r="I38" s="9" t="s">
        <v>513</v>
      </c>
      <c r="J38" s="9" t="s">
        <v>514</v>
      </c>
      <c r="K38" s="9" t="s">
        <v>515</v>
      </c>
      <c r="L38" s="9" t="s">
        <v>516</v>
      </c>
      <c r="M38" s="9" t="s">
        <v>70</v>
      </c>
      <c r="N38" s="9">
        <v>2</v>
      </c>
      <c r="O38" s="9">
        <v>4</v>
      </c>
      <c r="P38" s="9" t="str">
        <f>IF(AD38="Consolidated","Consolidated",IF(OR(N38="",O38=""),"Not assessed",INDEX('Assessment Guide'!$B$5:$F$9,N38,O38)))</f>
        <v>High</v>
      </c>
      <c r="Q38" s="9" t="s">
        <v>517</v>
      </c>
      <c r="R38" s="9" t="s">
        <v>518</v>
      </c>
      <c r="S38" s="9" t="s">
        <v>142</v>
      </c>
      <c r="T38" s="9" t="s">
        <v>113</v>
      </c>
      <c r="U38" s="9" t="s">
        <v>143</v>
      </c>
      <c r="V38" s="9" t="s">
        <v>519</v>
      </c>
      <c r="W38" s="9" t="s">
        <v>17</v>
      </c>
      <c r="X38" s="9" t="s">
        <v>520</v>
      </c>
      <c r="Y38" s="9" t="s">
        <v>117</v>
      </c>
      <c r="Z38" s="9" t="s">
        <v>521</v>
      </c>
      <c r="AA38" s="9" t="s">
        <v>80</v>
      </c>
      <c r="AB38" s="9" t="s">
        <v>251</v>
      </c>
      <c r="AC38" s="9" t="s">
        <v>148</v>
      </c>
      <c r="AD38" s="9" t="s">
        <v>83</v>
      </c>
      <c r="AE38" s="9"/>
      <c r="AF38" s="10">
        <v>43922</v>
      </c>
      <c r="AG38" s="10">
        <v>44012</v>
      </c>
      <c r="AH38" s="9" t="s">
        <v>84</v>
      </c>
    </row>
    <row r="39" spans="1:34" ht="189.95" customHeight="1">
      <c r="A39" s="1" t="s">
        <v>522</v>
      </c>
      <c r="B39" s="1" t="s">
        <v>523</v>
      </c>
      <c r="C39" s="1" t="s">
        <v>524</v>
      </c>
      <c r="D39" s="1" t="s">
        <v>18</v>
      </c>
      <c r="E39" s="1" t="s">
        <v>525</v>
      </c>
      <c r="F39" s="1" t="s">
        <v>256</v>
      </c>
      <c r="G39" s="1" t="s">
        <v>64</v>
      </c>
      <c r="H39" s="1" t="s">
        <v>105</v>
      </c>
      <c r="I39" s="1" t="s">
        <v>526</v>
      </c>
      <c r="J39" s="1" t="s">
        <v>527</v>
      </c>
      <c r="K39" s="1" t="s">
        <v>528</v>
      </c>
      <c r="L39" s="1" t="s">
        <v>529</v>
      </c>
      <c r="M39" s="1" t="s">
        <v>70</v>
      </c>
      <c r="N39" s="1">
        <v>4</v>
      </c>
      <c r="O39" s="1">
        <v>3</v>
      </c>
      <c r="P39" s="1" t="str">
        <f>IF(AD39="Consolidated","Consolidated",IF(OR(N39="",O39=""),"Not assessed",INDEX('Assessment Guide'!$B$5:$F$9,N39,O39)))</f>
        <v>High</v>
      </c>
      <c r="Q39" s="1" t="s">
        <v>530</v>
      </c>
      <c r="R39" s="1" t="s">
        <v>531</v>
      </c>
      <c r="S39" s="1" t="s">
        <v>437</v>
      </c>
      <c r="T39" s="1" t="s">
        <v>113</v>
      </c>
      <c r="U39" s="1" t="s">
        <v>438</v>
      </c>
      <c r="V39" s="1" t="s">
        <v>532</v>
      </c>
      <c r="W39" s="1" t="s">
        <v>17</v>
      </c>
      <c r="X39" s="1" t="s">
        <v>533</v>
      </c>
      <c r="Y39" s="1" t="s">
        <v>117</v>
      </c>
      <c r="Z39" s="1" t="s">
        <v>534</v>
      </c>
      <c r="AA39" s="1" t="s">
        <v>80</v>
      </c>
      <c r="AB39" s="1" t="s">
        <v>457</v>
      </c>
      <c r="AC39" s="1" t="s">
        <v>442</v>
      </c>
      <c r="AD39" s="1" t="s">
        <v>83</v>
      </c>
      <c r="AE39" s="1"/>
      <c r="AF39" s="4">
        <v>43922</v>
      </c>
      <c r="AG39" s="4">
        <v>44012</v>
      </c>
      <c r="AH39" s="1" t="s">
        <v>84</v>
      </c>
    </row>
    <row r="40" spans="1:34" ht="189.95" customHeight="1">
      <c r="A40" s="9" t="s">
        <v>535</v>
      </c>
      <c r="B40" s="9" t="s">
        <v>536</v>
      </c>
      <c r="C40" s="9" t="s">
        <v>537</v>
      </c>
      <c r="D40" s="9" t="s">
        <v>18</v>
      </c>
      <c r="E40" s="9" t="s">
        <v>525</v>
      </c>
      <c r="F40" s="9" t="s">
        <v>104</v>
      </c>
      <c r="G40" s="9" t="s">
        <v>64</v>
      </c>
      <c r="H40" s="9" t="s">
        <v>105</v>
      </c>
      <c r="I40" s="9" t="s">
        <v>538</v>
      </c>
      <c r="J40" s="9" t="s">
        <v>539</v>
      </c>
      <c r="K40" s="9" t="s">
        <v>540</v>
      </c>
      <c r="L40" s="9" t="s">
        <v>541</v>
      </c>
      <c r="M40" s="9" t="s">
        <v>70</v>
      </c>
      <c r="N40" s="9">
        <v>3</v>
      </c>
      <c r="O40" s="9">
        <v>3</v>
      </c>
      <c r="P40" s="9" t="str">
        <f>IF(AD40="Consolidated","Consolidated",IF(OR(N40="",O40=""),"Not assessed",INDEX('Assessment Guide'!$B$5:$F$9,N40,O40)))</f>
        <v>Moderate</v>
      </c>
      <c r="Q40" s="9" t="s">
        <v>542</v>
      </c>
      <c r="R40" s="9" t="s">
        <v>543</v>
      </c>
      <c r="S40" s="9" t="s">
        <v>452</v>
      </c>
      <c r="T40" s="9" t="s">
        <v>113</v>
      </c>
      <c r="U40" s="9" t="s">
        <v>453</v>
      </c>
      <c r="V40" s="9" t="s">
        <v>544</v>
      </c>
      <c r="W40" s="9" t="s">
        <v>17</v>
      </c>
      <c r="X40" s="9" t="s">
        <v>545</v>
      </c>
      <c r="Y40" s="9" t="s">
        <v>117</v>
      </c>
      <c r="Z40" s="9" t="s">
        <v>546</v>
      </c>
      <c r="AA40" s="9" t="s">
        <v>80</v>
      </c>
      <c r="AB40" s="9" t="s">
        <v>457</v>
      </c>
      <c r="AC40" s="9" t="s">
        <v>458</v>
      </c>
      <c r="AD40" s="9" t="s">
        <v>83</v>
      </c>
      <c r="AE40" s="9"/>
      <c r="AF40" s="10">
        <v>43922</v>
      </c>
      <c r="AG40" s="10">
        <v>44012</v>
      </c>
      <c r="AH40" s="9" t="s">
        <v>84</v>
      </c>
    </row>
    <row r="41" spans="1:34" ht="189.95" customHeight="1">
      <c r="A41" s="1" t="s">
        <v>547</v>
      </c>
      <c r="B41" s="1" t="s">
        <v>548</v>
      </c>
      <c r="C41" s="1" t="s">
        <v>549</v>
      </c>
      <c r="D41" s="1" t="s">
        <v>20</v>
      </c>
      <c r="E41" s="1" t="s">
        <v>550</v>
      </c>
      <c r="F41" s="1" t="s">
        <v>63</v>
      </c>
      <c r="G41" s="1" t="s">
        <v>64</v>
      </c>
      <c r="H41" s="1" t="s">
        <v>105</v>
      </c>
      <c r="I41" s="1" t="s">
        <v>551</v>
      </c>
      <c r="J41" s="1" t="s">
        <v>552</v>
      </c>
      <c r="K41" s="1" t="s">
        <v>553</v>
      </c>
      <c r="L41" s="1" t="s">
        <v>554</v>
      </c>
      <c r="M41" s="1" t="s">
        <v>70</v>
      </c>
      <c r="N41" s="1">
        <v>4</v>
      </c>
      <c r="O41" s="1">
        <v>3</v>
      </c>
      <c r="P41" s="1" t="str">
        <f>IF(AD41="Consolidated","Consolidated",IF(OR(N41="",O41=""),"Not assessed",INDEX('Assessment Guide'!$B$5:$F$9,N41,O41)))</f>
        <v>High</v>
      </c>
      <c r="Q41" s="1" t="s">
        <v>555</v>
      </c>
      <c r="R41" s="1" t="s">
        <v>556</v>
      </c>
      <c r="S41" s="1" t="s">
        <v>557</v>
      </c>
      <c r="T41" s="1" t="s">
        <v>113</v>
      </c>
      <c r="U41" s="1" t="s">
        <v>558</v>
      </c>
      <c r="V41" s="1" t="s">
        <v>559</v>
      </c>
      <c r="W41" s="1" t="s">
        <v>15</v>
      </c>
      <c r="X41" s="1" t="s">
        <v>560</v>
      </c>
      <c r="Y41" s="1" t="s">
        <v>78</v>
      </c>
      <c r="Z41" s="1" t="s">
        <v>561</v>
      </c>
      <c r="AA41" s="1" t="s">
        <v>80</v>
      </c>
      <c r="AB41" s="1" t="s">
        <v>562</v>
      </c>
      <c r="AC41" s="1" t="s">
        <v>563</v>
      </c>
      <c r="AD41" s="1" t="s">
        <v>83</v>
      </c>
      <c r="AE41" s="1"/>
      <c r="AF41" s="4">
        <v>43922</v>
      </c>
      <c r="AG41" s="4">
        <v>44012</v>
      </c>
      <c r="AH41" s="1" t="s">
        <v>84</v>
      </c>
    </row>
    <row r="42" spans="1:34" ht="189.95" customHeight="1">
      <c r="A42" s="9" t="s">
        <v>564</v>
      </c>
      <c r="B42" s="9" t="s">
        <v>565</v>
      </c>
      <c r="C42" s="9" t="s">
        <v>566</v>
      </c>
      <c r="D42" s="9" t="s">
        <v>20</v>
      </c>
      <c r="E42" s="9" t="s">
        <v>550</v>
      </c>
      <c r="F42" s="9" t="s">
        <v>63</v>
      </c>
      <c r="G42" s="9" t="s">
        <v>64</v>
      </c>
      <c r="H42" s="9" t="s">
        <v>105</v>
      </c>
      <c r="I42" s="9" t="s">
        <v>567</v>
      </c>
      <c r="J42" s="9" t="s">
        <v>568</v>
      </c>
      <c r="K42" s="9" t="s">
        <v>569</v>
      </c>
      <c r="L42" s="9" t="s">
        <v>570</v>
      </c>
      <c r="M42" s="9" t="s">
        <v>70</v>
      </c>
      <c r="N42" s="9">
        <v>3</v>
      </c>
      <c r="O42" s="9">
        <v>3</v>
      </c>
      <c r="P42" s="9" t="str">
        <f>IF(AD42="Consolidated","Consolidated",IF(OR(N42="",O42=""),"Not assessed",INDEX('Assessment Guide'!$B$5:$F$9,N42,O42)))</f>
        <v>Moderate</v>
      </c>
      <c r="Q42" s="9" t="s">
        <v>571</v>
      </c>
      <c r="R42" s="9" t="s">
        <v>572</v>
      </c>
      <c r="S42" s="9" t="s">
        <v>557</v>
      </c>
      <c r="T42" s="9" t="s">
        <v>113</v>
      </c>
      <c r="U42" s="9" t="s">
        <v>558</v>
      </c>
      <c r="V42" s="9" t="s">
        <v>573</v>
      </c>
      <c r="W42" s="9" t="s">
        <v>15</v>
      </c>
      <c r="X42" s="9" t="s">
        <v>574</v>
      </c>
      <c r="Y42" s="9" t="s">
        <v>78</v>
      </c>
      <c r="Z42" s="9" t="s">
        <v>575</v>
      </c>
      <c r="AA42" s="9" t="s">
        <v>80</v>
      </c>
      <c r="AB42" s="9" t="s">
        <v>562</v>
      </c>
      <c r="AC42" s="9" t="s">
        <v>563</v>
      </c>
      <c r="AD42" s="9" t="s">
        <v>83</v>
      </c>
      <c r="AE42" s="9"/>
      <c r="AF42" s="10">
        <v>43922</v>
      </c>
      <c r="AG42" s="10">
        <v>44012</v>
      </c>
      <c r="AH42" s="9" t="s">
        <v>84</v>
      </c>
    </row>
    <row r="43" spans="1:34" ht="189.95" customHeight="1">
      <c r="A43" s="1" t="s">
        <v>576</v>
      </c>
      <c r="B43" s="1" t="s">
        <v>577</v>
      </c>
      <c r="C43" s="1" t="s">
        <v>578</v>
      </c>
      <c r="D43" s="1" t="s">
        <v>20</v>
      </c>
      <c r="E43" s="1" t="s">
        <v>550</v>
      </c>
      <c r="F43" s="1" t="s">
        <v>63</v>
      </c>
      <c r="G43" s="1" t="s">
        <v>64</v>
      </c>
      <c r="H43" s="1" t="s">
        <v>65</v>
      </c>
      <c r="I43" s="1" t="s">
        <v>579</v>
      </c>
      <c r="J43" s="1" t="s">
        <v>580</v>
      </c>
      <c r="K43" s="1" t="s">
        <v>581</v>
      </c>
      <c r="L43" s="1" t="s">
        <v>582</v>
      </c>
      <c r="M43" s="1" t="s">
        <v>70</v>
      </c>
      <c r="N43" s="1">
        <v>5</v>
      </c>
      <c r="O43" s="1">
        <v>4</v>
      </c>
      <c r="P43" s="1" t="str">
        <f>IF(AD43="Consolidated","Consolidated",IF(OR(N43="",O43=""),"Not assessed",INDEX('Assessment Guide'!$B$5:$F$9,N43,O43)))</f>
        <v>Extreme</v>
      </c>
      <c r="Q43" s="1" t="s">
        <v>583</v>
      </c>
      <c r="R43" s="1" t="s">
        <v>584</v>
      </c>
      <c r="S43" s="1" t="s">
        <v>557</v>
      </c>
      <c r="T43" s="1" t="s">
        <v>113</v>
      </c>
      <c r="U43" s="1" t="s">
        <v>558</v>
      </c>
      <c r="V43" s="1" t="s">
        <v>585</v>
      </c>
      <c r="W43" s="1" t="s">
        <v>19</v>
      </c>
      <c r="X43" s="1" t="s">
        <v>586</v>
      </c>
      <c r="Y43" s="1" t="s">
        <v>78</v>
      </c>
      <c r="Z43" s="1" t="s">
        <v>587</v>
      </c>
      <c r="AA43" s="1" t="s">
        <v>80</v>
      </c>
      <c r="AB43" s="1" t="s">
        <v>562</v>
      </c>
      <c r="AC43" s="1" t="s">
        <v>563</v>
      </c>
      <c r="AD43" s="1" t="s">
        <v>83</v>
      </c>
      <c r="AE43" s="1"/>
      <c r="AF43" s="4">
        <v>43922</v>
      </c>
      <c r="AG43" s="4">
        <v>44012</v>
      </c>
      <c r="AH43" s="1" t="s">
        <v>84</v>
      </c>
    </row>
    <row r="44" spans="1:34" ht="189.95" customHeight="1">
      <c r="A44" s="9" t="s">
        <v>588</v>
      </c>
      <c r="B44" s="9" t="s">
        <v>589</v>
      </c>
      <c r="C44" s="9" t="s">
        <v>590</v>
      </c>
      <c r="D44" s="9" t="s">
        <v>20</v>
      </c>
      <c r="E44" s="9" t="s">
        <v>591</v>
      </c>
      <c r="F44" s="9" t="s">
        <v>63</v>
      </c>
      <c r="G44" s="9" t="s">
        <v>64</v>
      </c>
      <c r="H44" s="9" t="s">
        <v>105</v>
      </c>
      <c r="I44" s="9" t="s">
        <v>592</v>
      </c>
      <c r="J44" s="9" t="s">
        <v>593</v>
      </c>
      <c r="K44" s="9" t="s">
        <v>594</v>
      </c>
      <c r="L44" s="9" t="s">
        <v>595</v>
      </c>
      <c r="M44" s="9" t="s">
        <v>70</v>
      </c>
      <c r="N44" s="9">
        <v>3</v>
      </c>
      <c r="O44" s="9">
        <v>3</v>
      </c>
      <c r="P44" s="9" t="str">
        <f>IF(AD44="Consolidated","Consolidated",IF(OR(N44="",O44=""),"Not assessed",INDEX('Assessment Guide'!$B$5:$F$9,N44,O44)))</f>
        <v>Moderate</v>
      </c>
      <c r="Q44" s="9" t="s">
        <v>596</v>
      </c>
      <c r="R44" s="9" t="s">
        <v>597</v>
      </c>
      <c r="S44" s="9" t="s">
        <v>557</v>
      </c>
      <c r="T44" s="9" t="s">
        <v>113</v>
      </c>
      <c r="U44" s="9" t="s">
        <v>558</v>
      </c>
      <c r="V44" s="9" t="s">
        <v>598</v>
      </c>
      <c r="W44" s="9" t="s">
        <v>15</v>
      </c>
      <c r="X44" s="9" t="s">
        <v>599</v>
      </c>
      <c r="Y44" s="9" t="s">
        <v>78</v>
      </c>
      <c r="Z44" s="9" t="s">
        <v>600</v>
      </c>
      <c r="AA44" s="9" t="s">
        <v>80</v>
      </c>
      <c r="AB44" s="9" t="s">
        <v>562</v>
      </c>
      <c r="AC44" s="9" t="s">
        <v>563</v>
      </c>
      <c r="AD44" s="9" t="s">
        <v>83</v>
      </c>
      <c r="AE44" s="9"/>
      <c r="AF44" s="10">
        <v>43922</v>
      </c>
      <c r="AG44" s="10">
        <v>44012</v>
      </c>
      <c r="AH44" s="9" t="s">
        <v>84</v>
      </c>
    </row>
    <row r="45" spans="1:34" ht="189.95" customHeight="1">
      <c r="A45" s="1" t="s">
        <v>601</v>
      </c>
      <c r="B45" s="1" t="s">
        <v>602</v>
      </c>
      <c r="C45" s="1" t="s">
        <v>603</v>
      </c>
      <c r="D45" s="1" t="s">
        <v>20</v>
      </c>
      <c r="E45" s="1" t="s">
        <v>604</v>
      </c>
      <c r="F45" s="1" t="s">
        <v>63</v>
      </c>
      <c r="G45" s="1" t="s">
        <v>64</v>
      </c>
      <c r="H45" s="1" t="s">
        <v>65</v>
      </c>
      <c r="I45" s="1" t="s">
        <v>605</v>
      </c>
      <c r="J45" s="1" t="s">
        <v>606</v>
      </c>
      <c r="K45" s="1" t="s">
        <v>607</v>
      </c>
      <c r="L45" s="1" t="s">
        <v>608</v>
      </c>
      <c r="M45" s="1" t="s">
        <v>70</v>
      </c>
      <c r="N45" s="1">
        <v>4</v>
      </c>
      <c r="O45" s="1">
        <v>4</v>
      </c>
      <c r="P45" s="1" t="str">
        <f>IF(AD45="Consolidated","Consolidated",IF(OR(N45="",O45=""),"Not assessed",INDEX('Assessment Guide'!$B$5:$F$9,N45,O45)))</f>
        <v>Extreme</v>
      </c>
      <c r="Q45" s="1" t="s">
        <v>609</v>
      </c>
      <c r="R45" s="1" t="s">
        <v>610</v>
      </c>
      <c r="S45" s="1" t="s">
        <v>112</v>
      </c>
      <c r="T45" s="1" t="s">
        <v>113</v>
      </c>
      <c r="U45" s="1" t="s">
        <v>114</v>
      </c>
      <c r="V45" s="1" t="s">
        <v>611</v>
      </c>
      <c r="W45" s="1" t="s">
        <v>19</v>
      </c>
      <c r="X45" s="1" t="s">
        <v>612</v>
      </c>
      <c r="Y45" s="1" t="s">
        <v>78</v>
      </c>
      <c r="Z45" s="1" t="s">
        <v>613</v>
      </c>
      <c r="AA45" s="1" t="s">
        <v>235</v>
      </c>
      <c r="AB45" s="1" t="s">
        <v>81</v>
      </c>
      <c r="AC45" s="1" t="s">
        <v>82</v>
      </c>
      <c r="AD45" s="1" t="s">
        <v>83</v>
      </c>
      <c r="AE45" s="1"/>
      <c r="AF45" s="4">
        <v>43922</v>
      </c>
      <c r="AG45" s="4">
        <v>44012</v>
      </c>
      <c r="AH45" s="1" t="s">
        <v>84</v>
      </c>
    </row>
    <row r="46" spans="1:34" ht="189.95" customHeight="1">
      <c r="A46" s="9" t="s">
        <v>614</v>
      </c>
      <c r="B46" s="9" t="s">
        <v>615</v>
      </c>
      <c r="C46" s="9" t="s">
        <v>616</v>
      </c>
      <c r="D46" s="9" t="s">
        <v>16</v>
      </c>
      <c r="E46" s="9" t="s">
        <v>391</v>
      </c>
      <c r="F46" s="9" t="s">
        <v>88</v>
      </c>
      <c r="G46" s="9" t="s">
        <v>64</v>
      </c>
      <c r="H46" s="9" t="s">
        <v>105</v>
      </c>
      <c r="I46" s="9" t="s">
        <v>617</v>
      </c>
      <c r="J46" s="9" t="s">
        <v>618</v>
      </c>
      <c r="K46" s="9" t="s">
        <v>619</v>
      </c>
      <c r="L46" s="9" t="s">
        <v>620</v>
      </c>
      <c r="M46" s="9" t="s">
        <v>70</v>
      </c>
      <c r="N46" s="9">
        <v>3</v>
      </c>
      <c r="O46" s="9">
        <v>3</v>
      </c>
      <c r="P46" s="9" t="str">
        <f>IF(AD46="Consolidated","Consolidated",IF(OR(N46="",O46=""),"Not assessed",INDEX('Assessment Guide'!$B$5:$F$9,N46,O46)))</f>
        <v>Moderate</v>
      </c>
      <c r="Q46" s="9" t="s">
        <v>621</v>
      </c>
      <c r="R46" s="9" t="s">
        <v>622</v>
      </c>
      <c r="S46" s="9" t="s">
        <v>410</v>
      </c>
      <c r="T46" s="9" t="s">
        <v>113</v>
      </c>
      <c r="U46" s="9" t="s">
        <v>411</v>
      </c>
      <c r="V46" s="9" t="s">
        <v>623</v>
      </c>
      <c r="W46" s="9" t="s">
        <v>15</v>
      </c>
      <c r="X46" s="9" t="s">
        <v>624</v>
      </c>
      <c r="Y46" s="9" t="s">
        <v>78</v>
      </c>
      <c r="Z46" s="9" t="s">
        <v>625</v>
      </c>
      <c r="AA46" s="9" t="s">
        <v>80</v>
      </c>
      <c r="AB46" s="9" t="s">
        <v>251</v>
      </c>
      <c r="AC46" s="9" t="s">
        <v>335</v>
      </c>
      <c r="AD46" s="9" t="s">
        <v>83</v>
      </c>
      <c r="AE46" s="9"/>
      <c r="AF46" s="10">
        <v>43922</v>
      </c>
      <c r="AG46" s="10">
        <v>44012</v>
      </c>
      <c r="AH46" s="9" t="s">
        <v>84</v>
      </c>
    </row>
    <row r="47" spans="1:34" ht="189.95" customHeight="1">
      <c r="A47" s="1" t="s">
        <v>626</v>
      </c>
      <c r="B47" s="1" t="s">
        <v>627</v>
      </c>
      <c r="C47" s="1" t="s">
        <v>628</v>
      </c>
      <c r="D47" s="1" t="s">
        <v>20</v>
      </c>
      <c r="E47" s="1" t="s">
        <v>604</v>
      </c>
      <c r="F47" s="1" t="s">
        <v>63</v>
      </c>
      <c r="G47" s="1" t="s">
        <v>375</v>
      </c>
      <c r="H47" s="1" t="s">
        <v>376</v>
      </c>
      <c r="I47" s="1" t="s">
        <v>629</v>
      </c>
      <c r="J47" s="1" t="s">
        <v>630</v>
      </c>
      <c r="K47" s="1" t="s">
        <v>631</v>
      </c>
      <c r="L47" s="1" t="s">
        <v>632</v>
      </c>
      <c r="M47" s="1" t="s">
        <v>70</v>
      </c>
      <c r="N47" s="1"/>
      <c r="O47" s="1"/>
      <c r="P47" s="1" t="str">
        <f>IF(AD47="Consolidated","Consolidated",IF(OR(N47="",O47=""),"Not assessed",INDEX('Assessment Guide'!$B$5:$F$9,N47,O47)))</f>
        <v>Consolidated</v>
      </c>
      <c r="Q47" s="1" t="s">
        <v>633</v>
      </c>
      <c r="R47" s="1" t="s">
        <v>634</v>
      </c>
      <c r="S47" s="1" t="s">
        <v>557</v>
      </c>
      <c r="T47" s="1" t="s">
        <v>113</v>
      </c>
      <c r="U47" s="1" t="s">
        <v>558</v>
      </c>
      <c r="V47" s="1" t="s">
        <v>635</v>
      </c>
      <c r="W47" s="1" t="s">
        <v>384</v>
      </c>
      <c r="X47" s="1" t="s">
        <v>636</v>
      </c>
      <c r="Y47" s="1" t="s">
        <v>78</v>
      </c>
      <c r="Z47" s="1" t="s">
        <v>637</v>
      </c>
      <c r="AA47" s="1" t="s">
        <v>80</v>
      </c>
      <c r="AB47" s="1" t="s">
        <v>562</v>
      </c>
      <c r="AC47" s="1" t="s">
        <v>563</v>
      </c>
      <c r="AD47" s="1" t="s">
        <v>376</v>
      </c>
      <c r="AE47" s="1" t="s">
        <v>638</v>
      </c>
      <c r="AF47" s="4">
        <v>43922</v>
      </c>
      <c r="AG47" s="4">
        <v>44012</v>
      </c>
      <c r="AH47" s="1" t="s">
        <v>84</v>
      </c>
    </row>
    <row r="48" spans="1:34" ht="189.95" customHeight="1">
      <c r="A48" s="9" t="s">
        <v>639</v>
      </c>
      <c r="B48" s="9" t="s">
        <v>640</v>
      </c>
      <c r="C48" s="9" t="s">
        <v>641</v>
      </c>
      <c r="D48" s="9" t="s">
        <v>20</v>
      </c>
      <c r="E48" s="9" t="s">
        <v>642</v>
      </c>
      <c r="F48" s="9" t="s">
        <v>88</v>
      </c>
      <c r="G48" s="9" t="s">
        <v>64</v>
      </c>
      <c r="H48" s="9" t="s">
        <v>105</v>
      </c>
      <c r="I48" s="9" t="s">
        <v>643</v>
      </c>
      <c r="J48" s="9" t="s">
        <v>644</v>
      </c>
      <c r="K48" s="9" t="s">
        <v>645</v>
      </c>
      <c r="L48" s="9" t="s">
        <v>646</v>
      </c>
      <c r="M48" s="9" t="s">
        <v>70</v>
      </c>
      <c r="N48" s="9">
        <v>4</v>
      </c>
      <c r="O48" s="9">
        <v>3</v>
      </c>
      <c r="P48" s="9" t="str">
        <f>IF(AD48="Consolidated","Consolidated",IF(OR(N48="",O48=""),"Not assessed",INDEX('Assessment Guide'!$B$5:$F$9,N48,O48)))</f>
        <v>High</v>
      </c>
      <c r="Q48" s="9" t="s">
        <v>647</v>
      </c>
      <c r="R48" s="9" t="s">
        <v>648</v>
      </c>
      <c r="S48" s="9" t="s">
        <v>410</v>
      </c>
      <c r="T48" s="9" t="s">
        <v>113</v>
      </c>
      <c r="U48" s="9" t="s">
        <v>411</v>
      </c>
      <c r="V48" s="9" t="s">
        <v>649</v>
      </c>
      <c r="W48" s="9" t="s">
        <v>15</v>
      </c>
      <c r="X48" s="9" t="s">
        <v>650</v>
      </c>
      <c r="Y48" s="9" t="s">
        <v>78</v>
      </c>
      <c r="Z48" s="9" t="s">
        <v>651</v>
      </c>
      <c r="AA48" s="9" t="s">
        <v>80</v>
      </c>
      <c r="AB48" s="9" t="s">
        <v>147</v>
      </c>
      <c r="AC48" s="9" t="s">
        <v>335</v>
      </c>
      <c r="AD48" s="9" t="s">
        <v>83</v>
      </c>
      <c r="AE48" s="9"/>
      <c r="AF48" s="10">
        <v>43922</v>
      </c>
      <c r="AG48" s="10">
        <v>44012</v>
      </c>
      <c r="AH48" s="9" t="s">
        <v>84</v>
      </c>
    </row>
    <row r="49" spans="1:34" ht="189.95" customHeight="1">
      <c r="A49" s="1" t="s">
        <v>652</v>
      </c>
      <c r="B49" s="1" t="s">
        <v>653</v>
      </c>
      <c r="C49" s="1" t="s">
        <v>654</v>
      </c>
      <c r="D49" s="1" t="s">
        <v>20</v>
      </c>
      <c r="E49" s="1" t="s">
        <v>591</v>
      </c>
      <c r="F49" s="1" t="s">
        <v>104</v>
      </c>
      <c r="G49" s="1" t="s">
        <v>64</v>
      </c>
      <c r="H49" s="1" t="s">
        <v>105</v>
      </c>
      <c r="I49" s="1" t="s">
        <v>655</v>
      </c>
      <c r="J49" s="1" t="s">
        <v>656</v>
      </c>
      <c r="K49" s="1" t="s">
        <v>657</v>
      </c>
      <c r="L49" s="1" t="s">
        <v>658</v>
      </c>
      <c r="M49" s="1" t="s">
        <v>70</v>
      </c>
      <c r="N49" s="1">
        <v>4</v>
      </c>
      <c r="O49" s="1">
        <v>3</v>
      </c>
      <c r="P49" s="1" t="str">
        <f>IF(AD49="Consolidated","Consolidated",IF(OR(N49="",O49=""),"Not assessed",INDEX('Assessment Guide'!$B$5:$F$9,N49,O49)))</f>
        <v>High</v>
      </c>
      <c r="Q49" s="1" t="s">
        <v>659</v>
      </c>
      <c r="R49" s="1" t="s">
        <v>660</v>
      </c>
      <c r="S49" s="1" t="s">
        <v>557</v>
      </c>
      <c r="T49" s="1" t="s">
        <v>113</v>
      </c>
      <c r="U49" s="1" t="s">
        <v>558</v>
      </c>
      <c r="V49" s="1" t="s">
        <v>661</v>
      </c>
      <c r="W49" s="1" t="s">
        <v>17</v>
      </c>
      <c r="X49" s="1" t="s">
        <v>662</v>
      </c>
      <c r="Y49" s="1" t="s">
        <v>117</v>
      </c>
      <c r="Z49" s="1" t="s">
        <v>663</v>
      </c>
      <c r="AA49" s="1" t="s">
        <v>80</v>
      </c>
      <c r="AB49" s="1" t="s">
        <v>562</v>
      </c>
      <c r="AC49" s="1" t="s">
        <v>563</v>
      </c>
      <c r="AD49" s="1" t="s">
        <v>83</v>
      </c>
      <c r="AE49" s="1"/>
      <c r="AF49" s="4">
        <v>43922</v>
      </c>
      <c r="AG49" s="4">
        <v>44012</v>
      </c>
      <c r="AH49" s="1" t="s">
        <v>84</v>
      </c>
    </row>
  </sheetData>
  <mergeCells count="2">
    <mergeCell ref="A2:D2"/>
    <mergeCell ref="A3:D3"/>
  </mergeCells>
  <dataValidations count="2">
    <dataValidation type="list" sqref="N6:O49" xr:uid="{00000000-0002-0000-0200-000000000000}">
      <formula1>"1,2,3,4,5"</formula1>
    </dataValidation>
    <dataValidation type="list" sqref="W6:W49" xr:uid="{00000000-0002-0000-0200-000001000000}">
      <formula1>"Tolerable,Not tolerable,Awaiting assessment,Not assessed separately"</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
  <sheetViews>
    <sheetView showGridLines="0" workbookViewId="0">
      <selection activeCell="A2" sqref="A2:F2"/>
    </sheetView>
  </sheetViews>
  <sheetFormatPr defaultRowHeight="14.25"/>
  <cols>
    <col min="1" max="1" width="17" customWidth="1"/>
    <col min="2" max="2" width="30" customWidth="1"/>
    <col min="3" max="3" width="18" customWidth="1"/>
    <col min="4" max="6" width="16" customWidth="1"/>
  </cols>
  <sheetData>
    <row r="1" spans="1:6">
      <c r="A1" s="1"/>
      <c r="B1" s="1"/>
      <c r="C1" s="1"/>
      <c r="D1" s="1"/>
      <c r="E1" s="1"/>
      <c r="F1" s="1"/>
    </row>
    <row r="2" spans="1:6" ht="43.5" customHeight="1">
      <c r="A2" s="16" t="s">
        <v>664</v>
      </c>
      <c r="B2" s="16"/>
      <c r="C2" s="16"/>
      <c r="D2" s="16"/>
      <c r="E2" s="16"/>
      <c r="F2" s="16"/>
    </row>
    <row r="3" spans="1:6" ht="39.950000000000003" customHeight="1">
      <c r="A3" s="14" t="s">
        <v>665</v>
      </c>
      <c r="B3" s="14"/>
      <c r="C3" s="14"/>
      <c r="D3" s="14"/>
      <c r="E3" s="14"/>
      <c r="F3" s="14"/>
    </row>
    <row r="4" spans="1:6" ht="38.1" customHeight="1">
      <c r="A4" s="3" t="s">
        <v>666</v>
      </c>
      <c r="B4" s="3">
        <v>1</v>
      </c>
      <c r="C4" s="3">
        <v>2</v>
      </c>
      <c r="D4" s="3">
        <v>3</v>
      </c>
      <c r="E4" s="3">
        <v>4</v>
      </c>
      <c r="F4" s="3">
        <v>5</v>
      </c>
    </row>
    <row r="5" spans="1:6" ht="30" customHeight="1">
      <c r="A5" s="1">
        <v>1</v>
      </c>
      <c r="B5" s="1" t="s">
        <v>6</v>
      </c>
      <c r="C5" s="11" t="s">
        <v>6</v>
      </c>
      <c r="D5" s="11" t="s">
        <v>6</v>
      </c>
      <c r="E5" s="12" t="s">
        <v>8</v>
      </c>
      <c r="F5" s="8" t="s">
        <v>10</v>
      </c>
    </row>
    <row r="6" spans="1:6" ht="30" customHeight="1">
      <c r="A6" s="1">
        <v>2</v>
      </c>
      <c r="B6" s="1" t="s">
        <v>6</v>
      </c>
      <c r="C6" s="11" t="s">
        <v>6</v>
      </c>
      <c r="D6" s="12" t="s">
        <v>8</v>
      </c>
      <c r="E6" s="8" t="s">
        <v>10</v>
      </c>
      <c r="F6" s="8" t="s">
        <v>10</v>
      </c>
    </row>
    <row r="7" spans="1:6" ht="30" customHeight="1">
      <c r="A7" s="1">
        <v>3</v>
      </c>
      <c r="B7" s="1" t="s">
        <v>6</v>
      </c>
      <c r="C7" s="12" t="s">
        <v>8</v>
      </c>
      <c r="D7" s="12" t="s">
        <v>8</v>
      </c>
      <c r="E7" s="8" t="s">
        <v>10</v>
      </c>
      <c r="F7" s="13" t="s">
        <v>11</v>
      </c>
    </row>
    <row r="8" spans="1:6" ht="30" customHeight="1">
      <c r="A8" s="1">
        <v>4</v>
      </c>
      <c r="B8" s="1" t="s">
        <v>6</v>
      </c>
      <c r="C8" s="12" t="s">
        <v>8</v>
      </c>
      <c r="D8" s="8" t="s">
        <v>10</v>
      </c>
      <c r="E8" s="13" t="s">
        <v>11</v>
      </c>
      <c r="F8" s="13" t="s">
        <v>11</v>
      </c>
    </row>
    <row r="9" spans="1:6" ht="30" customHeight="1">
      <c r="A9" s="1">
        <v>5</v>
      </c>
      <c r="B9" s="1" t="s">
        <v>8</v>
      </c>
      <c r="C9" s="12" t="s">
        <v>8</v>
      </c>
      <c r="D9" s="8" t="s">
        <v>10</v>
      </c>
      <c r="E9" s="13" t="s">
        <v>11</v>
      </c>
      <c r="F9" s="13" t="s">
        <v>11</v>
      </c>
    </row>
    <row r="10" spans="1:6">
      <c r="A10" s="1"/>
      <c r="B10" s="1"/>
      <c r="C10" s="1"/>
      <c r="D10" s="1"/>
      <c r="E10" s="1"/>
      <c r="F10" s="1"/>
    </row>
    <row r="11" spans="1:6">
      <c r="A11" s="1"/>
      <c r="B11" s="1"/>
      <c r="C11" s="1"/>
      <c r="D11" s="1"/>
      <c r="E11" s="1"/>
      <c r="F11" s="1"/>
    </row>
    <row r="12" spans="1:6" ht="38.1" customHeight="1">
      <c r="A12" s="3" t="s">
        <v>667</v>
      </c>
      <c r="B12" s="3" t="s">
        <v>40</v>
      </c>
      <c r="C12" s="3" t="s">
        <v>668</v>
      </c>
      <c r="D12" s="3"/>
      <c r="E12" s="3"/>
      <c r="F12" s="3"/>
    </row>
    <row r="13" spans="1:6">
      <c r="A13" s="1">
        <v>1</v>
      </c>
      <c r="B13" s="1" t="s">
        <v>669</v>
      </c>
      <c r="C13" s="1" t="s">
        <v>670</v>
      </c>
      <c r="D13" s="1"/>
      <c r="E13" s="1"/>
      <c r="F13" s="1"/>
    </row>
    <row r="14" spans="1:6">
      <c r="A14" s="1">
        <v>2</v>
      </c>
      <c r="B14" s="1" t="s">
        <v>671</v>
      </c>
      <c r="C14" s="1" t="s">
        <v>672</v>
      </c>
      <c r="D14" s="1"/>
      <c r="E14" s="1"/>
      <c r="F14" s="1"/>
    </row>
    <row r="15" spans="1:6" ht="28.5">
      <c r="A15" s="1">
        <v>3</v>
      </c>
      <c r="B15" s="1" t="s">
        <v>673</v>
      </c>
      <c r="C15" s="1" t="s">
        <v>674</v>
      </c>
      <c r="D15" s="1"/>
      <c r="E15" s="1"/>
      <c r="F15" s="1"/>
    </row>
    <row r="16" spans="1:6" ht="28.5">
      <c r="A16" s="1">
        <v>4</v>
      </c>
      <c r="B16" s="1" t="s">
        <v>675</v>
      </c>
      <c r="C16" s="1" t="s">
        <v>676</v>
      </c>
      <c r="D16" s="1"/>
      <c r="E16" s="1"/>
      <c r="F16" s="1"/>
    </row>
    <row r="17" spans="1:6">
      <c r="A17" s="1">
        <v>5</v>
      </c>
      <c r="B17" s="1" t="s">
        <v>677</v>
      </c>
      <c r="C17" s="1" t="s">
        <v>678</v>
      </c>
      <c r="D17" s="1"/>
      <c r="E17" s="1"/>
      <c r="F17" s="1"/>
    </row>
    <row r="18" spans="1:6">
      <c r="A18" s="1"/>
      <c r="B18" s="1"/>
      <c r="C18" s="1"/>
      <c r="D18" s="1"/>
      <c r="E18" s="1"/>
      <c r="F18" s="1"/>
    </row>
    <row r="19" spans="1:6">
      <c r="A19" s="1"/>
      <c r="B19" s="1"/>
      <c r="C19" s="1"/>
      <c r="D19" s="1"/>
      <c r="E19" s="1"/>
      <c r="F19" s="1"/>
    </row>
    <row r="20" spans="1:6" ht="38.1" customHeight="1">
      <c r="A20" s="3" t="s">
        <v>667</v>
      </c>
      <c r="B20" s="3" t="s">
        <v>41</v>
      </c>
      <c r="C20" s="3" t="s">
        <v>679</v>
      </c>
      <c r="D20" s="3"/>
      <c r="E20" s="3"/>
      <c r="F20" s="3"/>
    </row>
    <row r="21" spans="1:6" ht="65.099999999999994" customHeight="1">
      <c r="A21" s="1">
        <v>1</v>
      </c>
      <c r="B21" s="1" t="s">
        <v>680</v>
      </c>
      <c r="C21" s="17" t="s">
        <v>681</v>
      </c>
      <c r="D21" s="17"/>
      <c r="E21" s="17"/>
      <c r="F21" s="17"/>
    </row>
    <row r="22" spans="1:6" ht="65.099999999999994" customHeight="1">
      <c r="A22" s="1">
        <v>2</v>
      </c>
      <c r="B22" s="1" t="s">
        <v>682</v>
      </c>
      <c r="C22" s="17" t="s">
        <v>683</v>
      </c>
      <c r="D22" s="17"/>
      <c r="E22" s="17"/>
      <c r="F22" s="17"/>
    </row>
    <row r="23" spans="1:6" ht="65.099999999999994" customHeight="1">
      <c r="A23" s="1">
        <v>3</v>
      </c>
      <c r="B23" s="1" t="s">
        <v>8</v>
      </c>
      <c r="C23" s="17" t="s">
        <v>684</v>
      </c>
      <c r="D23" s="17"/>
      <c r="E23" s="17"/>
      <c r="F23" s="17"/>
    </row>
    <row r="24" spans="1:6" ht="65.099999999999994" customHeight="1">
      <c r="A24" s="1">
        <v>4</v>
      </c>
      <c r="B24" s="1" t="s">
        <v>685</v>
      </c>
      <c r="C24" s="17" t="s">
        <v>686</v>
      </c>
      <c r="D24" s="17"/>
      <c r="E24" s="17"/>
      <c r="F24" s="17"/>
    </row>
    <row r="25" spans="1:6" ht="65.099999999999994" customHeight="1">
      <c r="A25" s="1">
        <v>5</v>
      </c>
      <c r="B25" s="1" t="s">
        <v>687</v>
      </c>
      <c r="C25" s="17" t="s">
        <v>688</v>
      </c>
      <c r="D25" s="17"/>
      <c r="E25" s="17"/>
      <c r="F25" s="17"/>
    </row>
    <row r="26" spans="1:6">
      <c r="A26" s="1"/>
      <c r="B26" s="1"/>
      <c r="C26" s="1"/>
      <c r="D26" s="1"/>
      <c r="E26" s="1"/>
      <c r="F26" s="1"/>
    </row>
    <row r="27" spans="1:6">
      <c r="A27" s="1"/>
      <c r="B27" s="1"/>
      <c r="C27" s="1"/>
      <c r="D27" s="1"/>
      <c r="E27" s="1"/>
      <c r="F27" s="1"/>
    </row>
    <row r="28" spans="1:6" ht="38.1" customHeight="1">
      <c r="A28" s="3" t="s">
        <v>689</v>
      </c>
      <c r="B28" s="3" t="s">
        <v>690</v>
      </c>
      <c r="C28" s="3" t="s">
        <v>691</v>
      </c>
      <c r="D28" s="3"/>
      <c r="E28" s="3"/>
      <c r="F28" s="3"/>
    </row>
    <row r="29" spans="1:6" ht="54.95" customHeight="1">
      <c r="A29" s="1" t="s">
        <v>256</v>
      </c>
      <c r="B29" s="1" t="s">
        <v>692</v>
      </c>
      <c r="C29" s="17" t="s">
        <v>693</v>
      </c>
      <c r="D29" s="17"/>
      <c r="E29" s="17"/>
      <c r="F29" s="17"/>
    </row>
    <row r="30" spans="1:6" ht="54.95" customHeight="1">
      <c r="A30" s="1" t="s">
        <v>294</v>
      </c>
      <c r="B30" s="1" t="s">
        <v>694</v>
      </c>
      <c r="C30" s="17" t="s">
        <v>695</v>
      </c>
      <c r="D30" s="17"/>
      <c r="E30" s="17"/>
      <c r="F30" s="17"/>
    </row>
    <row r="31" spans="1:6" ht="54.95" customHeight="1">
      <c r="A31" s="1" t="s">
        <v>88</v>
      </c>
      <c r="B31" s="1" t="s">
        <v>696</v>
      </c>
      <c r="C31" s="17" t="s">
        <v>697</v>
      </c>
      <c r="D31" s="17"/>
      <c r="E31" s="17"/>
      <c r="F31" s="17"/>
    </row>
    <row r="32" spans="1:6" ht="54.95" customHeight="1">
      <c r="A32" s="1" t="s">
        <v>63</v>
      </c>
      <c r="B32" s="1" t="s">
        <v>698</v>
      </c>
      <c r="C32" s="17" t="s">
        <v>699</v>
      </c>
      <c r="D32" s="17"/>
      <c r="E32" s="17"/>
      <c r="F32" s="17"/>
    </row>
    <row r="33" spans="1:6" ht="54.95" customHeight="1">
      <c r="A33" s="1" t="s">
        <v>104</v>
      </c>
      <c r="B33" s="1" t="s">
        <v>700</v>
      </c>
      <c r="C33" s="17" t="s">
        <v>701</v>
      </c>
      <c r="D33" s="17"/>
      <c r="E33" s="17"/>
      <c r="F33" s="17"/>
    </row>
    <row r="34" spans="1:6" ht="54.95" customHeight="1">
      <c r="A34" s="1" t="s">
        <v>135</v>
      </c>
      <c r="B34" s="1" t="s">
        <v>702</v>
      </c>
      <c r="C34" s="17" t="s">
        <v>703</v>
      </c>
      <c r="D34" s="17"/>
      <c r="E34" s="17"/>
      <c r="F34" s="17"/>
    </row>
    <row r="35" spans="1:6">
      <c r="A35" s="1"/>
      <c r="B35" s="1"/>
      <c r="C35" s="1"/>
      <c r="D35" s="1"/>
      <c r="E35" s="1"/>
      <c r="F35" s="1"/>
    </row>
    <row r="36" spans="1:6" ht="42" customHeight="1">
      <c r="A36" s="14" t="s">
        <v>704</v>
      </c>
      <c r="B36" s="14"/>
      <c r="C36" s="14"/>
      <c r="D36" s="14"/>
      <c r="E36" s="14"/>
      <c r="F36" s="14"/>
    </row>
    <row r="37" spans="1:6" ht="42" customHeight="1">
      <c r="A37" s="14" t="s">
        <v>705</v>
      </c>
      <c r="B37" s="14"/>
      <c r="C37" s="14"/>
      <c r="D37" s="14"/>
      <c r="E37" s="14"/>
      <c r="F37" s="14"/>
    </row>
    <row r="38" spans="1:6" ht="42" customHeight="1">
      <c r="A38" s="14" t="s">
        <v>706</v>
      </c>
      <c r="B38" s="14"/>
      <c r="C38" s="14"/>
      <c r="D38" s="14"/>
      <c r="E38" s="14"/>
      <c r="F38" s="14"/>
    </row>
    <row r="39" spans="1:6" ht="42" customHeight="1">
      <c r="A39" s="14" t="s">
        <v>707</v>
      </c>
      <c r="B39" s="14"/>
      <c r="C39" s="14"/>
      <c r="D39" s="14"/>
      <c r="E39" s="14"/>
      <c r="F39" s="14"/>
    </row>
    <row r="40" spans="1:6" ht="42" customHeight="1">
      <c r="A40" s="14" t="s">
        <v>708</v>
      </c>
      <c r="B40" s="14"/>
      <c r="C40" s="14"/>
      <c r="D40" s="14"/>
      <c r="E40" s="14"/>
      <c r="F40" s="14"/>
    </row>
    <row r="41" spans="1:6" ht="42" customHeight="1">
      <c r="A41" s="14" t="s">
        <v>709</v>
      </c>
      <c r="B41" s="14"/>
      <c r="C41" s="14"/>
      <c r="D41" s="14"/>
      <c r="E41" s="14"/>
      <c r="F41" s="14"/>
    </row>
    <row r="42" spans="1:6" ht="42" customHeight="1">
      <c r="A42" s="14" t="s">
        <v>710</v>
      </c>
      <c r="B42" s="14"/>
      <c r="C42" s="14"/>
      <c r="D42" s="14"/>
      <c r="E42" s="14"/>
      <c r="F42" s="14"/>
    </row>
    <row r="43" spans="1:6" ht="42" customHeight="1">
      <c r="A43" s="14" t="s">
        <v>711</v>
      </c>
      <c r="B43" s="14"/>
      <c r="C43" s="14"/>
      <c r="D43" s="14"/>
      <c r="E43" s="14"/>
      <c r="F43" s="14"/>
    </row>
    <row r="44" spans="1:6" ht="42" customHeight="1">
      <c r="A44" s="14" t="s">
        <v>712</v>
      </c>
      <c r="B44" s="14"/>
      <c r="C44" s="14"/>
      <c r="D44" s="14"/>
      <c r="E44" s="14"/>
      <c r="F44" s="14"/>
    </row>
    <row r="45" spans="1:6">
      <c r="A45" s="1"/>
      <c r="B45" s="1"/>
      <c r="C45" s="1"/>
      <c r="D45" s="1"/>
      <c r="E45" s="1"/>
      <c r="F45" s="1"/>
    </row>
    <row r="46" spans="1:6">
      <c r="A46" s="1"/>
      <c r="B46" s="1"/>
      <c r="C46" s="1"/>
      <c r="D46" s="1"/>
      <c r="E46" s="1"/>
      <c r="F46" s="1"/>
    </row>
    <row r="47" spans="1:6">
      <c r="A47" s="1"/>
      <c r="B47" s="1"/>
      <c r="C47" s="1"/>
      <c r="D47" s="1"/>
      <c r="E47" s="1"/>
      <c r="F47" s="1"/>
    </row>
    <row r="48" spans="1:6">
      <c r="A48" s="1"/>
      <c r="B48" s="1"/>
      <c r="C48" s="1"/>
      <c r="D48" s="1"/>
      <c r="E48" s="1"/>
      <c r="F48" s="1"/>
    </row>
  </sheetData>
  <mergeCells count="22">
    <mergeCell ref="A40:F40"/>
    <mergeCell ref="A2:F2"/>
    <mergeCell ref="A41:F41"/>
    <mergeCell ref="A42:F42"/>
    <mergeCell ref="A43:F43"/>
    <mergeCell ref="A44:F44"/>
    <mergeCell ref="A3:F3"/>
    <mergeCell ref="C25:F25"/>
    <mergeCell ref="C29:F29"/>
    <mergeCell ref="C30:F30"/>
    <mergeCell ref="C31:F31"/>
    <mergeCell ref="C32:F32"/>
    <mergeCell ref="C33:F33"/>
    <mergeCell ref="C34:F34"/>
    <mergeCell ref="A36:F36"/>
    <mergeCell ref="A37:F37"/>
    <mergeCell ref="A38:F38"/>
    <mergeCell ref="A39:F39"/>
    <mergeCell ref="C21:F21"/>
    <mergeCell ref="C22:F22"/>
    <mergeCell ref="C23:F23"/>
    <mergeCell ref="C24:F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showGridLines="0" workbookViewId="0">
      <selection activeCell="A2" sqref="A2:B2"/>
    </sheetView>
  </sheetViews>
  <sheetFormatPr defaultRowHeight="14.25"/>
  <cols>
    <col min="1" max="1" width="25" customWidth="1"/>
    <col min="2" max="2" width="110" customWidth="1"/>
  </cols>
  <sheetData>
    <row r="1" spans="1:2">
      <c r="A1" s="1"/>
      <c r="B1" s="1"/>
    </row>
    <row r="2" spans="1:2" ht="43.5" customHeight="1">
      <c r="A2" s="16" t="s">
        <v>713</v>
      </c>
      <c r="B2" s="16"/>
    </row>
    <row r="3" spans="1:2">
      <c r="A3" s="1"/>
      <c r="B3" s="1"/>
    </row>
    <row r="4" spans="1:2">
      <c r="A4" s="1"/>
      <c r="B4" s="1"/>
    </row>
    <row r="5" spans="1:2" ht="38.1" customHeight="1">
      <c r="A5" s="3" t="s">
        <v>714</v>
      </c>
      <c r="B5" s="3" t="s">
        <v>715</v>
      </c>
    </row>
    <row r="6" spans="1:2" ht="75" customHeight="1">
      <c r="A6" s="1" t="s">
        <v>716</v>
      </c>
      <c r="B6" s="1" t="s">
        <v>717</v>
      </c>
    </row>
    <row r="7" spans="1:2" ht="75" customHeight="1">
      <c r="A7" s="1" t="s">
        <v>718</v>
      </c>
      <c r="B7" s="1" t="s">
        <v>719</v>
      </c>
    </row>
    <row r="8" spans="1:2" ht="75" customHeight="1">
      <c r="A8" s="1" t="s">
        <v>720</v>
      </c>
      <c r="B8" s="1" t="s">
        <v>721</v>
      </c>
    </row>
    <row r="9" spans="1:2" ht="75" customHeight="1">
      <c r="A9" s="1" t="s">
        <v>722</v>
      </c>
      <c r="B9" s="1" t="s">
        <v>723</v>
      </c>
    </row>
    <row r="10" spans="1:2" ht="75" customHeight="1">
      <c r="A10" s="1" t="s">
        <v>724</v>
      </c>
      <c r="B10" s="1" t="s">
        <v>725</v>
      </c>
    </row>
    <row r="11" spans="1:2" ht="75" customHeight="1">
      <c r="A11" s="1" t="s">
        <v>726</v>
      </c>
      <c r="B11" s="1" t="s">
        <v>727</v>
      </c>
    </row>
    <row r="12" spans="1:2" ht="75" customHeight="1">
      <c r="A12" s="1" t="s">
        <v>13</v>
      </c>
      <c r="B12" s="1" t="s">
        <v>728</v>
      </c>
    </row>
    <row r="13" spans="1:2" ht="75" customHeight="1">
      <c r="A13" s="1" t="s">
        <v>729</v>
      </c>
      <c r="B13" s="1" t="s">
        <v>730</v>
      </c>
    </row>
    <row r="14" spans="1:2" ht="75" customHeight="1">
      <c r="A14" s="1" t="s">
        <v>46</v>
      </c>
      <c r="B14" s="1" t="s">
        <v>731</v>
      </c>
    </row>
    <row r="15" spans="1:2" ht="75" customHeight="1">
      <c r="A15" s="1" t="s">
        <v>732</v>
      </c>
      <c r="B15" s="1" t="s">
        <v>733</v>
      </c>
    </row>
    <row r="16" spans="1:2" ht="75" customHeight="1">
      <c r="A16" s="1" t="s">
        <v>734</v>
      </c>
      <c r="B16" s="1" t="s">
        <v>735</v>
      </c>
    </row>
    <row r="17" spans="1:2" ht="75" customHeight="1">
      <c r="A17" s="1" t="s">
        <v>736</v>
      </c>
      <c r="B17" s="1" t="s">
        <v>737</v>
      </c>
    </row>
    <row r="18" spans="1:2" ht="75" customHeight="1">
      <c r="A18" s="1" t="s">
        <v>738</v>
      </c>
      <c r="B18" s="1" t="s">
        <v>739</v>
      </c>
    </row>
    <row r="19" spans="1:2" ht="75" customHeight="1">
      <c r="A19" s="1" t="s">
        <v>740</v>
      </c>
      <c r="B19" s="1" t="s">
        <v>741</v>
      </c>
    </row>
    <row r="20" spans="1:2" ht="75" customHeight="1">
      <c r="A20" s="1" t="s">
        <v>742</v>
      </c>
      <c r="B20" s="1" t="s">
        <v>743</v>
      </c>
    </row>
    <row r="21" spans="1:2" ht="75" customHeight="1">
      <c r="A21" s="1" t="s">
        <v>744</v>
      </c>
      <c r="B21" s="1" t="s">
        <v>745</v>
      </c>
    </row>
    <row r="22" spans="1:2">
      <c r="A22" s="1"/>
      <c r="B22" s="1"/>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Record View</vt:lpstr>
      <vt:lpstr>RiskRegister</vt:lpstr>
      <vt:lpstr>Assessment Guide</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Haritun</cp:lastModifiedBy>
  <dcterms:modified xsi:type="dcterms:W3CDTF">2026-10-18T22:29:44Z</dcterms:modified>
</cp:coreProperties>
</file>