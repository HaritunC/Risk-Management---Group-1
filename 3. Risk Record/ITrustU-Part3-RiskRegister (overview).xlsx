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d7149f8c97492a" /></Relationships>
</file>

<file path=xl/workbook.xml><?xml version="1.0" encoding="utf-8"?>
<x:workbook xmlns:x="http://schemas.openxmlformats.org/spreadsheetml/2006/main">
  <x:sheets>
    <x:sheet xmlns:r="http://schemas.openxmlformats.org/officeDocument/2006/relationships" name="Overview" sheetId="1" r:id="R409ade8fb5b442a7"/>
    <x:sheet xmlns:r="http://schemas.openxmlformats.org/officeDocument/2006/relationships" name="Record View" sheetId="2" r:id="R131f414fac5b4a52"/>
    <x:sheet xmlns:r="http://schemas.openxmlformats.org/officeDocument/2006/relationships" name="RiskRegister" sheetId="3" r:id="R9f891a4bd9734993"/>
    <x:sheet xmlns:r="http://schemas.openxmlformats.org/officeDocument/2006/relationships" name="Review Decisions" sheetId="4" r:id="Rc7bbd53de59b4908"/>
    <x:sheet xmlns:r="http://schemas.openxmlformats.org/officeDocument/2006/relationships" name="Assessment Guide" sheetId="5" r:id="R1ad201ddbea94e22"/>
    <x:sheet xmlns:r="http://schemas.openxmlformats.org/officeDocument/2006/relationships" name="Edit History" sheetId="6" r:id="R52f8cc67473b4d10"/>
    <x:sheet xmlns:r="http://schemas.openxmlformats.org/officeDocument/2006/relationships" name="Source Records" sheetId="7" r:id="R4a2118b5a16b456e"/>
    <x:sheet xmlns:r="http://schemas.openxmlformats.org/officeDocument/2006/relationships" name="Source Controls" sheetId="8" r:id="R147c3a41d593459d"/>
    <x:sheet xmlns:r="http://schemas.openxmlformats.org/officeDocument/2006/relationships" name="Source Text" sheetId="9" r:id="Rc7ce094fa7ad4664"/>
    <x:sheet xmlns:r="http://schemas.openxmlformats.org/officeDocument/2006/relationships" name="ReadMe" sheetId="10" r:id="R35f3cbf3e5d844b2"/>
    <x:sheet xmlns:r="http://schemas.openxmlformats.org/officeDocument/2006/relationships" name="Decision Log" sheetId="11" r:id="Re1294e5aa68842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sz val="11"/>
      <x:name val="Arial"/>
    </x:font>
    <x:font>
      <x:b/>
      <x:sz val="16"/>
      <x:color rgb="FF383838"/>
      <x:name val="Arial"/>
    </x:font>
    <x:font>
      <x:sz val="11"/>
      <x:color rgb="FF383838"/>
      <x:name val="Arial"/>
    </x:font>
    <x:font>
      <x:b/>
      <x:sz val="11"/>
      <x:color rgb="FFFFFFFF"/>
      <x:name val="Arial"/>
    </x:font>
    <x:font>
      <x:b/>
      <x:sz val="11"/>
      <x:color rgb="FF383838"/>
      <x:name val="Arial"/>
    </x:font>
    <x:font>
      <x:b/>
      <x:sz val="11"/>
      <x:color rgb="FFFFFFFF"/>
      <x:name val="Carlito"/>
    </x:font>
    <x:font>
      <x:b/>
      <x:sz val="16"/>
      <x:name val="Arial"/>
    </x:font>
  </x:fonts>
  <x:fills count="10">
    <x:fill>
      <x:patternFill patternType="none"/>
    </x:fill>
    <x:fill>
      <x:patternFill patternType="gray125"/>
    </x:fill>
    <x:fill>
      <x:patternFill patternType="solid">
        <x:fgColor rgb="FF383838"/>
      </x:patternFill>
    </x:fill>
    <x:fill>
      <x:patternFill patternType="solid">
        <x:fgColor rgb="FFF4F4F4"/>
      </x:patternFill>
    </x:fill>
    <x:fill>
      <x:patternFill patternType="solid">
        <x:fgColor rgb="FFFFF2CC"/>
      </x:patternFill>
    </x:fill>
    <x:fill>
      <x:patternFill patternType="solid">
        <x:fgColor rgb="FFE2EFDA"/>
      </x:patternFill>
    </x:fill>
    <x:fill>
      <x:patternFill patternType="solid">
        <x:fgColor rgb="FFFCE4D6"/>
      </x:patternFill>
    </x:fill>
    <x:fill>
      <x:patternFill patternType="solid">
        <x:fgColor rgb="FFF4CCCC"/>
      </x:patternFill>
    </x:fill>
    <x:fill>
      <x:patternFill patternType="solid">
        <x:fgColor rgb="FF383838"/>
      </x:patternFill>
    </x:fill>
    <x:fill>
      <x:patternFill patternType="solid">
        <x:fgColor rgb="FFFFF2CC"/>
      </x:patternFill>
    </x:fill>
  </x:fills>
  <x:borders count="1">
    <x:border>
      <x:left/>
      <x:right/>
      <x:top/>
      <x:bottom/>
      <x:diagonal/>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0" fillId="2" borderId="0" xfId="0" applyNumberFormat="1" applyFont="1" applyFill="1" applyBorder="1"/>
    <x:xf numFmtId="0" fontId="6" fillId="2" borderId="0" xfId="0" applyNumberFormat="1" applyFont="1" applyFill="1" applyBorder="1"/>
    <x:xf numFmtId="0" fontId="0" fillId="5" borderId="0" xfId="0" applyNumberFormat="1" applyFont="1" applyFill="1" applyBorder="1"/>
    <x:xf numFmtId="0" fontId="0" fillId="4"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6" fillId="2" borderId="0" xfId="0" applyNumberFormat="1" applyFont="1" applyFill="1" applyBorder="1" applyAlignment="1">
      <x:alignment wrapText="1"/>
    </x:xf>
    <x:xf numFmtId="0" fontId="4" fillId="2" borderId="0" xfId="0" applyNumberFormat="1" applyFont="1" applyFill="1" applyBorder="1"/>
    <x:xf numFmtId="0" fontId="1" fillId="5" borderId="0" xfId="0" applyNumberFormat="1" applyFont="1" applyFill="1" applyBorder="1"/>
    <x:xf numFmtId="0" fontId="1" fillId="4" borderId="0" xfId="0" applyNumberFormat="1" applyFont="1" applyFill="1" applyBorder="1"/>
    <x:xf numFmtId="0" fontId="1" fillId="6" borderId="0" xfId="0" applyNumberFormat="1" applyFont="1" applyFill="1" applyBorder="1"/>
    <x:xf numFmtId="0" fontId="1" fillId="7" borderId="0" xfId="0" applyNumberFormat="1" applyFont="1" applyFill="1" applyBorder="1"/>
    <x:xf numFmtId="0" fontId="4"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7" fillId="0" borderId="0" xfId="0" applyNumberFormat="1" applyFont="1" applyFill="1" applyBorder="1"/>
    <x:xf numFmtId="0" fontId="1" fillId="8"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8" borderId="0" xfId="0" applyNumberFormat="1" applyFont="1" applyFill="1" applyBorder="1"/>
    <x:xf numFmtId="0" fontId="4" fillId="8" borderId="0" xfId="0" applyNumberFormat="1" applyFont="1" applyFill="1" applyBorder="1"/>
  </x:cellXfs>
  <x:cellStyles count="1">
    <x:cellStyle name="Normal" xfId="0"/>
  </x:cellStyles>
  <x:dxfs count="4">
    <x:dxf>
      <x:fill>
        <x:patternFill>
          <x:bgColor rgb="FFE2EFDA"/>
        </x:patternFill>
      </x:fill>
    </x:dxf>
    <x:dxf>
      <x:fill>
        <x:patternFill>
          <x:bgColor rgb="FFFFF2CC"/>
        </x:patternFill>
      </x:fill>
    </x:dxf>
    <x:dxf>
      <x:fill>
        <x:patternFill>
          <x:bgColor rgb="FFFCE4D6"/>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43831f746b4138" /><Relationship Type="http://schemas.openxmlformats.org/officeDocument/2006/relationships/theme" Target="/xl/theme/theme1.xml" Id="R0c5bf2741950467d" /><Relationship Type="http://schemas.openxmlformats.org/officeDocument/2006/relationships/sharedStrings" Target="/xl/sharedStrings.xml" Id="R82d0c94228124305" /><Relationship Type="http://schemas.openxmlformats.org/officeDocument/2006/relationships/worksheet" Target="/xl/worksheets/sheet1.xml" Id="R409ade8fb5b442a7" /><Relationship Type="http://schemas.openxmlformats.org/officeDocument/2006/relationships/worksheet" Target="/xl/worksheets/sheet2.xml" Id="R131f414fac5b4a52" /><Relationship Type="http://schemas.openxmlformats.org/officeDocument/2006/relationships/worksheet" Target="/xl/worksheets/sheet3.xml" Id="R9f891a4bd9734993" /><Relationship Type="http://schemas.openxmlformats.org/officeDocument/2006/relationships/worksheet" Target="/xl/worksheets/sheet4.xml" Id="Rc7bbd53de59b4908" /><Relationship Type="http://schemas.openxmlformats.org/officeDocument/2006/relationships/worksheet" Target="/xl/worksheets/sheet5.xml" Id="R1ad201ddbea94e22" /><Relationship Type="http://schemas.openxmlformats.org/officeDocument/2006/relationships/worksheet" Target="/xl/worksheets/sheet6.xml" Id="R52f8cc67473b4d10" /><Relationship Type="http://schemas.openxmlformats.org/officeDocument/2006/relationships/worksheet" Target="/xl/worksheets/sheet7.xml" Id="R4a2118b5a16b456e" /><Relationship Type="http://schemas.openxmlformats.org/officeDocument/2006/relationships/worksheet" Target="/xl/worksheets/sheet8.xml" Id="R147c3a41d593459d" /><Relationship Type="http://schemas.openxmlformats.org/officeDocument/2006/relationships/worksheet" Target="/xl/worksheets/sheet9.xml" Id="Rc7ce094fa7ad4664" /><Relationship Type="http://schemas.openxmlformats.org/officeDocument/2006/relationships/worksheet" Target="/xl/worksheets/sheet10.xml" Id="R35f3cbf3e5d844b2" /><Relationship Type="http://schemas.openxmlformats.org/officeDocument/2006/relationships/worksheet" Target="/xl/worksheets/sheet11.xml" Id="Re1294e5aa68842f9" /></Relationships>
</file>

<file path=xl/tables/table1.xml><?xml version="1.0" encoding="utf-8"?>
<x:table xmlns:x="http://schemas.openxmlformats.org/spreadsheetml/2006/main" id="8" name="RiskRegisterTable" displayName="RiskRegisterTable" ref="A5:AK49" headerRowCount="1" totalsRowCount="0" totalsRowShown="0">
  <x:tableColumns count="37">
    <x:tableColumn id="1" name="Record ID"/>
    <x:tableColumn id="2" name="Risk Code"/>
    <x:tableColumn id="3" name="Risk title"/>
    <x:tableColumn id="4" name="FIRM area"/>
    <x:tableColumn id="5" name="Index item"/>
    <x:tableColumn id="6" name="Primary source"/>
    <x:tableColumn id="7" name="Classification status"/>
    <x:tableColumn id="8" name="Assessment status"/>
    <x:tableColumn id="9" name="Cause or trigger"/>
    <x:tableColumn id="10" name="Risk event"/>
    <x:tableColumn id="11" name="Potential impact"/>
    <x:tableColumn id="12" name="Objective or dependency"/>
    <x:tableColumn id="13" name="Likelihood horizon"/>
    <x:tableColumn id="14" name="Likelihood"/>
    <x:tableColumn id="15" name="Magnitude"/>
    <x:tableColumn id="16" name="Inherent rating"/>
    <x:tableColumn id="17" name="Likelihood reasoning"/>
    <x:tableColumn id="18" name="Magnitude reasoning"/>
    <x:tableColumn id="19" name="Existing controls"/>
    <x:tableColumn id="20" name="Control evidence status"/>
    <x:tableColumn id="21" name="Control effectiveness"/>
    <x:tableColumn id="22" name="Control gap or evidence needed"/>
    <x:tableColumn id="23" name="Tolerability"/>
    <x:tableColumn id="24" name="Tolerability reasoning"/>
    <x:tableColumn id="25" name="Controllability"/>
    <x:tableColumn id="26" name="Business imperative"/>
    <x:tableColumn id="27" name="Longer-term exposure"/>
    <x:tableColumn id="28" name="Risk owner"/>
    <x:tableColumn id="29" name="Revision notes"/>
    <x:tableColumn id="30" name="Evidence and experience"/>
    <x:tableColumn id="31" name="Record status"/>
    <x:tableColumn id="32" name="Consolidated into"/>
    <x:tableColumn id="33" name="Assessment as of"/>
    <x:tableColumn id="34" name="Horizon end"/>
    <x:tableColumn id="35" name="Owner designation"/>
    <x:tableColumn id="36" name="Decision references"/>
    <x:tableColumn id="37" name="Assessment approval"/>
  </x:tableColumns>
  <x:tableStyleInfo name="TableStyleMedium2" showFirstColumn="0" showLastColumn="0" showRowStripes="1" showColumnStripes="0"/>
</x:table>
</file>

<file path=xl/tables/table2.xml><?xml version="1.0" encoding="utf-8"?>
<x:table xmlns:x="http://schemas.openxmlformats.org/spreadsheetml/2006/main" id="9" name="ReviewDecisionsTable" displayName="ReviewDecisionsTable" ref="A5:G23" headerRowCount="1" totalsRowCount="0" totalsRowShown="0">
  <x:tableColumns count="7">
    <x:tableColumn id="1" name="Decision ID"/>
    <x:tableColumn id="2" name="Topic"/>
    <x:tableColumn id="3" name="Affected records"/>
    <x:tableColumn id="4" name="Question"/>
    <x:tableColumn id="5" name="Proposed treatment"/>
    <x:tableColumn id="6" name="Status"/>
    <x:tableColumn id="7" name="Your decision or notes"/>
  </x:tableColumns>
  <x:tableStyleInfo name="TableStyleMedium2" showFirstColumn="0" showLastColumn="0" showRowStripes="1" showColumnStripes="0"/>
</x:table>
</file>

<file path=xl/tables/table3.xml><?xml version="1.0" encoding="utf-8"?>
<x:table xmlns:x="http://schemas.openxmlformats.org/spreadsheetml/2006/main" id="3" name="EditHistoryTable" displayName="EditHistoryTable" ref="A5:J49" headerRowCount="1" totalsRowCount="0" totalsRowShown="0">
  <x:tableColumns count="10">
    <x:tableColumn id="1" name="Record ID"/>
    <x:tableColumn id="2" name="Original code"/>
    <x:tableColumn id="3" name="Working code"/>
    <x:tableColumn id="4" name="Code change status"/>
    <x:tableColumn id="5" name="Original L"/>
    <x:tableColumn id="6" name="Original M"/>
    <x:tableColumn id="7" name="Working L"/>
    <x:tableColumn id="8" name="Working M"/>
    <x:tableColumn id="9" name="Reason and scope"/>
    <x:tableColumn id="10" name="Review status"/>
  </x:tableColumns>
  <x:tableStyleInfo name="TableStyleMedium2" showFirstColumn="0" showLastColumn="0" showRowStripes="1" showColumnStripes="0"/>
</x:table>
</file>

<file path=xl/tables/table4.xml><?xml version="1.0" encoding="utf-8"?>
<x:table xmlns:x="http://schemas.openxmlformats.org/spreadsheetml/2006/main" id="4" name="SourceRecordsTable" displayName="SourceRecordsTable" ref="A5:K49" headerRowCount="1" totalsRowCount="0" totalsRowShown="0">
  <x:tableColumns count="11">
    <x:tableColumn id="1" name="Record ID"/>
    <x:tableColumn id="2" name="Nathan code"/>
    <x:tableColumn id="3" name="Nathan risk"/>
    <x:tableColumn id="4" name="Lester code as supplied"/>
    <x:tableColumn id="5" name="Lester nature text"/>
    <x:tableColumn id="6" name="Urman risk"/>
    <x:tableColumn id="7" name="Urman L"/>
    <x:tableColumn id="8" name="Urman M"/>
    <x:tableColumn id="9" name="Urman original score and band"/>
    <x:tableColumn id="10" name="Urman potential impact"/>
    <x:tableColumn id="11" name="Source files"/>
  </x:tableColumns>
  <x:tableStyleInfo name="TableStyleMedium2" showFirstColumn="0" showLastColumn="0" showRowStripes="1" showColumnStripes="0"/>
</x:table>
</file>

<file path=xl/tables/table5.xml><?xml version="1.0" encoding="utf-8"?>
<x:table xmlns:x="http://schemas.openxmlformats.org/spreadsheetml/2006/main" id="5" name="SourceControlsTable" displayName="SourceControlsTable" ref="A5:F21" headerRowCount="1" totalsRowCount="0" totalsRowShown="0">
  <x:tableColumns count="6">
    <x:tableColumn id="1" name="Index item"/>
    <x:tableColumn id="2" name="Riskiness item"/>
    <x:tableColumn id="3" name="Original index score"/>
    <x:tableColumn id="4" name="Sam existing control"/>
    <x:tableColumn id="5" name="Sam coverage"/>
    <x:tableColumn id="6" name="Sam stated gap"/>
  </x:tableColumns>
  <x:tableStyleInfo name="TableStyleMedium2" showFirstColumn="0" showLastColumn="0" showRowStripes="1" showColumnStripes="0"/>
</x:table>
</file>

<file path=xl/tables/table6.xml><?xml version="1.0" encoding="utf-8"?>
<x:table xmlns:x="http://schemas.openxmlformats.org/spreadsheetml/2006/main" id="11" name="SourceTextTable" displayName="SourceTextTable" ref="A5:D149" headerRowCount="1" totalsRowCount="0" totalsRowShown="0">
  <x:tableColumns count="4">
    <x:tableColumn id="1" name="Contributor"/>
    <x:tableColumn id="2" name="Source file"/>
    <x:tableColumn id="3" name="Location"/>
    <x:tableColumn id="4" name="Original paragraph"/>
  </x:tableColumns>
  <x:tableStyleInfo name="TableStyleMedium2" showFirstColumn="0" showLastColumn="0" showRowStripes="1" showColumnStripes="0"/>
</x:table>
</file>

<file path=xl/tables/table7.xml><?xml version="1.0" encoding="utf-8"?>
<x:table xmlns:x="http://schemas.openxmlformats.org/spreadsheetml/2006/main" id="7" name="ReadMeTable" displayName="ReadMeTable" ref="A5:B23" headerRowCount="1" totalsRowCount="0" totalsRowShown="0">
  <x:tableColumns count="2">
    <x:tableColumn id="1" name="Topic"/>
    <x:tableColumn id="2" name="Instructions and limitations"/>
  </x:tableColumns>
  <x:tableStyleInfo name="TableStyleMedium2" showFirstColumn="0" showLastColumn="0" showRowStripes="1" showColumnStripes="0"/>
</x:table>
</file>

<file path=xl/tables/table8.xml><?xml version="1.0" encoding="utf-8"?>
<x:table xmlns:x="http://schemas.openxmlformats.org/spreadsheetml/2006/main" id="12" name="DecisionLogTable" displayName="DecisionLogTable" ref="A5:G638" headerRowCount="1" totalsRowCount="0" totalsRowShown="0">
  <x:tableColumns count="7">
    <x:tableColumn id="1" name="Record ID"/>
    <x:tableColumn id="2" name="Decision"/>
    <x:tableColumn id="3" name="Field"/>
    <x:tableColumn id="4" name="Previous value"/>
    <x:tableColumn id="5" name="Revised value"/>
    <x:tableColumn id="6" name="Status"/>
    <x:tableColumn id="7" name="Project review 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577b491fc85348b9" /></Relationships>
</file>

<file path=xl/worksheets/_rels/sheet4.xml.rels>&#65279;<?xml version="1.0" encoding="utf-8"?><Relationships xmlns="http://schemas.openxmlformats.org/package/2006/relationships"><Relationship Type="http://schemas.openxmlformats.org/officeDocument/2006/relationships/table" Target="/xl/tables/table2.xml" Id="R433d22d6834a4a67" /></Relationships>
</file>

<file path=xl/worksheets/_rels/sheet6.xml.rels>&#65279;<?xml version="1.0" encoding="utf-8"?><Relationships xmlns="http://schemas.openxmlformats.org/package/2006/relationships"><Relationship Type="http://schemas.openxmlformats.org/officeDocument/2006/relationships/table" Target="/xl/tables/table3.xml" Id="Rf204ee49323c43bd" /></Relationships>
</file>

<file path=xl/worksheets/_rels/sheet7.xml.rels>&#65279;<?xml version="1.0" encoding="utf-8"?><Relationships xmlns="http://schemas.openxmlformats.org/package/2006/relationships"><Relationship Type="http://schemas.openxmlformats.org/officeDocument/2006/relationships/table" Target="/xl/tables/table4.xml" Id="R451268df516146c8" /></Relationships>
</file>

<file path=xl/worksheets/_rels/sheet8.xml.rels>&#65279;<?xml version="1.0" encoding="utf-8"?><Relationships xmlns="http://schemas.openxmlformats.org/package/2006/relationships"><Relationship Type="http://schemas.openxmlformats.org/officeDocument/2006/relationships/table" Target="/xl/tables/table5.xml" Id="R125c573fabe04d63" /></Relationships>
</file>

<file path=xl/worksheets/_rels/sheet9.xml.rels>&#65279;<?xml version="1.0" encoding="utf-8"?><Relationships xmlns="http://schemas.openxmlformats.org/package/2006/relationships"><Relationship Type="http://schemas.openxmlformats.org/officeDocument/2006/relationships/table" Target="/xl/tables/table6.xml" Id="R1f6700b8a9164aba" /></Relationships>
</file>

<file path=xl/worksheets/_rels/sheet10.xml.rels>&#65279;<?xml version="1.0" encoding="utf-8"?><Relationships xmlns="http://schemas.openxmlformats.org/package/2006/relationships"><Relationship Type="http://schemas.openxmlformats.org/officeDocument/2006/relationships/table" Target="/xl/tables/table7.xml" Id="R2ba64ace2b264e10" /></Relationships>
</file>

<file path=xl/worksheets/_rels/sheet11.xml.rels>&#65279;<?xml version="1.0" encoding="utf-8"?><Relationships xmlns="http://schemas.openxmlformats.org/package/2006/relationships"><Relationship Type="http://schemas.openxmlformats.org/officeDocument/2006/relationships/table" Target="/xl/tables/table8.xml" Id="R540bf0d5e8514391" /></Relationships>
</file>

<file path=xl/worksheets/sheet1.xml><?xml version="1.0" encoding="utf-8"?>
<x:worksheet xmlns:x="http://schemas.openxmlformats.org/spreadsheetml/2006/main">
  <x:sheetPr>
    <x:tabColor rgb="FFC0504D"/>
  </x:sheetPr>
  <x:sheetViews>
    <x:sheetView showGridLines="0" workbookViewId="0"/>
  </x:sheetViews>
  <x:sheetFormatPr defaultRowHeight="15"/>
  <x:cols>
    <x:col min="1" max="1" width="44" hidden="0" customWidth="1"/>
    <x:col min="2" max="2" width="22" hidden="0" customWidth="1"/>
    <x:col min="3" max="3" width="22" hidden="0" customWidth="1"/>
    <x:col min="4" max="4" width="4" hidden="0" customWidth="1"/>
    <x:col min="5" max="5" width="25" hidden="0" customWidth="1"/>
    <x:col min="6" max="6" width="22" hidden="0" customWidth="1"/>
  </x:cols>
  <x:sheetData>
    <x:row r="1">
      <x:c r="A1" s="1"/>
      <x:c r="B1" s="1"/>
      <x:c r="C1" s="1"/>
      <x:c r="D1" s="1"/>
      <x:c r="E1" s="1"/>
      <x:c r="F1" s="1"/>
      <x:c r="G1" s="1"/>
      <x:c r="H1" s="1"/>
    </x:row>
    <x:row r="2">
      <x:c r="A2" s="2" t="str">
        <x:v>ITrustU risk register — Part 3</x:v>
      </x:c>
      <x:c r="B2" s="1"/>
      <x:c r="C2" s="1"/>
      <x:c r="D2" s="1"/>
      <x:c r="E2" s="1"/>
      <x:c r="F2" s="1"/>
      <x:c r="G2" s="1"/>
      <x:c r="H2" s="1"/>
    </x:row>
    <x:row r="3" ht="24" customHeight="1">
      <x:c r="A3" s="1" t="str">
        <x:v>Final submission. Initial assessment: April 1, 2020. Likelihood horizon: April 1–June 30, 2020.</x:v>
      </x:c>
      <x:c r="B3" s="1"/>
      <x:c r="C3" s="1"/>
      <x:c r="D3" s="1"/>
      <x:c r="E3" s="1"/>
      <x:c r="F3" s="1"/>
      <x:c r="G3" s="1"/>
      <x:c r="H3" s="1"/>
    </x:row>
    <x:row r="5" ht="28" customHeight="1">
      <x:c r="A5" s="21" t="str">
        <x:v>Assessment position</x:v>
      </x:c>
      <x:c r="B5" s="21" t="str">
        <x:v>Count</x:v>
      </x:c>
      <x:c r="C5" s="1"/>
      <x:c r="D5" s="1"/>
      <x:c r="E5" s="21" t="str">
        <x:v>Inherent rating</x:v>
      </x:c>
      <x:c r="F5" s="21" t="str">
        <x:v>Records</x:v>
      </x:c>
    </x:row>
    <x:row r="6" ht="28" customHeight="1">
      <x:c r="A6" s="1" t="str">
        <x:v>Active risk records</x:v>
      </x:c>
      <x:c r="B6" s="1" t="n">
        <x:f>COUNTIF(RiskRegister!AE6:AE49,"Active")</x:f>
        <x:v>41</x:v>
      </x:c>
      <x:c r="C6" s="1"/>
      <x:c r="D6" s="1"/>
      <x:c r="E6" s="1" t="str">
        <x:v>Low</x:v>
      </x:c>
      <x:c r="F6" s="1" t="n">
        <x:f>COUNTIFS(RiskRegister!$P$6:$P$49,E6,RiskRegister!$AE$6:$AE$49,"Active")</x:f>
        <x:v>0</x:v>
      </x:c>
    </x:row>
    <x:row r="7" ht="28" customHeight="1">
      <x:c r="A7" s="1" t="str">
        <x:v>Active: awaiting tolerability assessment</x:v>
      </x:c>
      <x:c r="B7" s="1" t="n">
        <x:f>COUNTIFS(RiskRegister!AE6:AE49,"Active",RiskRegister!W6:W49,"Awaiting assessment")</x:f>
        <x:v>11</x:v>
      </x:c>
      <x:c r="C7" s="1"/>
      <x:c r="D7" s="1"/>
      <x:c r="E7" s="1" t="str">
        <x:v>Moderate</x:v>
      </x:c>
      <x:c r="F7" s="1" t="n">
        <x:f>COUNTIFS(RiskRegister!$P$6:$P$49,E7,RiskRegister!$AE$6:$AE$49,"Active")</x:f>
        <x:v>5</x:v>
      </x:c>
    </x:row>
    <x:row r="8" ht="28" customHeight="1">
      <x:c r="A8" s="1" t="str">
        <x:v>Consolidated records retained</x:v>
      </x:c>
      <x:c r="B8" s="1" t="n">
        <x:f>COUNTIF(RiskRegister!AE6:AE49,"Consolidated")</x:f>
        <x:v>3</x:v>
      </x:c>
      <x:c r="C8" s="1"/>
      <x:c r="D8" s="1"/>
      <x:c r="E8" s="1" t="str">
        <x:v>High</x:v>
      </x:c>
      <x:c r="F8" s="1" t="n">
        <x:f>COUNTIFS(RiskRegister!$P$6:$P$49,E8,RiskRegister!$AE$6:$AE$49,"Active")</x:f>
        <x:v>28</x:v>
      </x:c>
    </x:row>
    <x:row r="9" ht="28" customHeight="1">
      <x:c r="A9" s="1" t="str">
        <x:v>Project decisions agreed</x:v>
      </x:c>
      <x:c r="B9" s="1" t="n">
        <x:f>COUNTIF('Review Decisions'!F6:F23,"Agreed")</x:f>
        <x:v>18</x:v>
      </x:c>
      <x:c r="C9" s="1"/>
      <x:c r="D9" s="1"/>
      <x:c r="E9" s="1" t="str">
        <x:v>Extreme</x:v>
      </x:c>
      <x:c r="F9" s="1" t="n">
        <x:f>COUNTIFS(RiskRegister!$P$6:$P$49,E9,RiskRegister!$AE$6:$AE$49,"Active")</x:f>
        <x:v>8</x:v>
      </x:c>
    </x:row>
    <x:row r="10" ht="28" customHeight="1">
      <x:c r="A10" s="1" t="str">
        <x:v>Open follow-up decisions</x:v>
      </x:c>
      <x:c r="B10" s="1" t="n">
        <x:f>COUNTIF('Review Decisions'!F6:F23,"Open")</x:f>
        <x:v>0</x:v>
      </x:c>
      <x:c r="C10" s="1"/>
      <x:c r="D10" s="1"/>
      <x:c r="E10" s="1"/>
      <x:c r="F10" s="1"/>
    </x:row>
    <x:row r="11" ht="28" customHeight="1">
      <x:c r="A11" s="1"/>
      <x:c r="B11" s="1"/>
      <x:c r="C11" s="1"/>
      <x:c r="D11" s="1"/>
      <x:c r="E11" s="1"/>
      <x:c r="F11" s="1"/>
    </x:row>
    <x:row r="12" ht="28" customHeight="1">
      <x:c r="A12" s="1"/>
      <x:c r="B12" s="1"/>
      <x:c r="C12" s="1"/>
      <x:c r="D12" s="1"/>
      <x:c r="E12" s="1"/>
      <x:c r="F12" s="1"/>
    </x:row>
    <x:row r="13" ht="28" customHeight="1">
      <x:c r="A13" s="21" t="str">
        <x:v>FIRM area</x:v>
      </x:c>
      <x:c r="B13" s="21" t="str">
        <x:v>Records</x:v>
      </x:c>
      <x:c r="C13" s="21" t="str">
        <x:v>Extreme inherent</x:v>
      </x:c>
      <x:c r="D13" s="1"/>
      <x:c r="E13" s="45" t="str">
        <x:v>Tolerability assessment</x:v>
      </x:c>
      <x:c r="F13" s="45" t="str">
        <x:v>Active records</x:v>
      </x:c>
    </x:row>
    <x:row r="14" ht="28" customHeight="1">
      <x:c r="A14" s="1" t="str">
        <x:v>Financial</x:v>
      </x:c>
      <x:c r="B14" s="1" t="n">
        <x:f>COUNTIFS(RiskRegister!$D$6:$D$49,A14,RiskRegister!$AE$6:$AE$49,"Active")</x:f>
        <x:v>12</x:v>
      </x:c>
      <x:c r="C14" s="1" t="n">
        <x:f>COUNTIFS(RiskRegister!$D$6:$D$49,A14,RiskRegister!$P$6:$P$49,"Extreme",RiskRegister!$AE$6:$AE$49,"Active")</x:f>
        <x:v>2</x:v>
      </x:c>
      <x:c r="D14" s="1"/>
      <x:c r="E14" s="1" t="str">
        <x:v>Tolerable</x:v>
      </x:c>
      <x:c r="F14" s="1" t="n">
        <x:f>COUNTIFS(RiskRegister!$W$6:$W$49,E14,RiskRegister!$AE$6:$AE$49,"Active")</x:f>
        <x:v>6</x:v>
      </x:c>
    </x:row>
    <x:row r="15" ht="28" customHeight="1">
      <x:c r="A15" s="1" t="str">
        <x:v>Infrastructure</x:v>
      </x:c>
      <x:c r="B15" s="1" t="n">
        <x:f>COUNTIFS(RiskRegister!$D$6:$D$49,A15,RiskRegister!$AE$6:$AE$49,"Active")</x:f>
        <x:v>13</x:v>
      </x:c>
      <x:c r="C15" s="1" t="n">
        <x:f>COUNTIFS(RiskRegister!$D$6:$D$49,A15,RiskRegister!$P$6:$P$49,"Extreme",RiskRegister!$AE$6:$AE$49,"Active")</x:f>
        <x:v>3</x:v>
      </x:c>
      <x:c r="D15" s="1"/>
      <x:c r="E15" s="1" t="str">
        <x:v>Not tolerable</x:v>
      </x:c>
      <x:c r="F15" s="1" t="n">
        <x:f>COUNTIFS(RiskRegister!$W$6:$W$49,E15,RiskRegister!$AE$6:$AE$49,"Active")</x:f>
        <x:v>24</x:v>
      </x:c>
    </x:row>
    <x:row r="16" ht="28" customHeight="1">
      <x:c r="A16" s="1" t="str">
        <x:v>Reputation</x:v>
      </x:c>
      <x:c r="B16" s="1" t="n">
        <x:f>COUNTIFS(RiskRegister!$D$6:$D$49,A16,RiskRegister!$AE$6:$AE$49,"Active")</x:f>
        <x:v>9</x:v>
      </x:c>
      <x:c r="C16" s="1" t="n">
        <x:f>COUNTIFS(RiskRegister!$D$6:$D$49,A16,RiskRegister!$P$6:$P$49,"Extreme",RiskRegister!$AE$6:$AE$49,"Active")</x:f>
        <x:v>1</x:v>
      </x:c>
      <x:c r="D16" s="1"/>
      <x:c r="E16" s="1" t="str">
        <x:v>Awaiting assessment</x:v>
      </x:c>
      <x:c r="F16" s="1" t="n">
        <x:f>COUNTIFS(RiskRegister!$W$6:$W$49,E16,RiskRegister!$AE$6:$AE$49,"Active")</x:f>
        <x:v>11</x:v>
      </x:c>
    </x:row>
    <x:row r="17" ht="28" customHeight="1">
      <x:c r="A17" s="1" t="str">
        <x:v>Marketing</x:v>
      </x:c>
      <x:c r="B17" s="1" t="n">
        <x:f>COUNTIFS(RiskRegister!$D$6:$D$49,A17,RiskRegister!$AE$6:$AE$49,"Active")</x:f>
        <x:v>7</x:v>
      </x:c>
      <x:c r="C17" s="1" t="n">
        <x:f>COUNTIFS(RiskRegister!$D$6:$D$49,A17,RiskRegister!$P$6:$P$49,"Extreme",RiskRegister!$AE$6:$AE$49,"Active")</x:f>
        <x:v>2</x:v>
      </x:c>
      <x:c r="D17" s="1"/>
      <x:c r="E17" s="1"/>
      <x:c r="F17" s="1"/>
    </x:row>
    <x:row r="18" ht="28" customHeight="1">
      <x:c r="A18" s="1"/>
      <x:c r="B18" s="1"/>
      <x:c r="C18" s="1"/>
      <x:c r="D18" s="1"/>
      <x:c r="E18" s="1"/>
      <x:c r="F18" s="1"/>
    </x:row>
    <x:row r="19" ht="28" customHeight="1">
      <x:c r="A19" s="1"/>
      <x:c r="B19" s="1"/>
      <x:c r="C19" s="1"/>
      <x:c r="D19" s="1"/>
      <x:c r="E19" s="1"/>
      <x:c r="F19" s="1"/>
    </x:row>
    <x:row r="20" ht="28" customHeight="1">
      <x:c r="A20" s="1" t="str">
        <x:v>D01–D18 project decisions agreed. Provisional assumptions and 11 unresolved financial assessments remain explicit.</x:v>
      </x:c>
      <x:c r="B20" s="1"/>
      <x:c r="C20" s="1"/>
      <x:c r="D20" s="1"/>
      <x:c r="E20" s="1"/>
      <x:c r="F20" s="1"/>
    </x:row>
    <x:row r="21" ht="28" customHeight="1">
      <x:c r="A21" s="1"/>
      <x:c r="B21" s="1"/>
      <x:c r="C21" s="1"/>
      <x:c r="D21" s="1"/>
      <x:c r="E21" s="1"/>
      <x:c r="F21" s="1"/>
    </x:row>
    <x:row r="22" ht="28" customHeight="1">
      <x:c r="A22" s="1" t="str">
        <x:v>All 44 original IDs remain. Three records are Consolidated, leaving 41 active risks. R-013 remains unused.</x:v>
      </x:c>
      <x:c r="B22" s="1"/>
      <x:c r="C22" s="1"/>
      <x:c r="D22" s="1"/>
      <x:c r="E22" s="1"/>
      <x:c r="F22" s="1"/>
    </x:row>
    <x:row r="23" ht="28" customHeight="1">
      <x:c r="A23" s="1"/>
      <x:c r="B23" s="1"/>
      <x:c r="C23" s="1"/>
      <x:c r="D23" s="1"/>
      <x:c r="E23" s="1"/>
      <x:c r="F23" s="1"/>
    </x:row>
    <x:row r="24" ht="28" customHeight="1">
      <x:c r="A24" s="1" t="str">
        <x:v>Provisional conclusions retain their stated conditions. Submission completion does not imply formal corporate risk acceptance.</x:v>
      </x:c>
      <x:c r="B24" s="1"/>
      <x:c r="C24" s="1"/>
      <x:c r="D24" s="1"/>
      <x:c r="E24" s="1"/>
      <x:c r="F24" s="1"/>
    </x:row>
    <x:row r="25" ht="28" customHeight="1">
      <x:c r="A25" s="1"/>
      <x:c r="B25" s="1"/>
      <x:c r="C25" s="1"/>
      <x:c r="D25" s="1"/>
      <x:c r="E25" s="1"/>
      <x:c r="F25" s="1"/>
    </x:row>
    <x:row r="26" ht="28" customHeight="1">
      <x:c r="A26" s="1" t="str">
        <x:v>Case-confirmed arrangements are distinguished from team assumptions. Control effectiveness is not independently verified.</x:v>
      </x:c>
      <x:c r="B26" s="1"/>
      <x:c r="C26" s="1"/>
      <x:c r="D26" s="1"/>
      <x:c r="E26" s="1"/>
      <x:c r="F26" s="1"/>
    </x:row>
    <x:row r="27" ht="28" customHeight="1">
      <x:c r="A27" s="1"/>
      <x:c r="B27" s="1"/>
      <x:c r="C27" s="1"/>
      <x:c r="D27" s="1"/>
      <x:c r="E27" s="1"/>
      <x:c r="F27" s="1"/>
    </x:row>
    <x:row r="28" ht="28" customHeight="1">
      <x:c r="A28" s="1" t="str">
        <x:v>Parts 4 and 5 evaluations and implementation actions are not populated in this workbook.</x:v>
      </x:c>
      <x:c r="B28" s="1"/>
      <x:c r="C28" s="1"/>
      <x:c r="D28" s="1"/>
      <x:c r="E28" s="1"/>
      <x:c r="F28" s="1"/>
    </x:row>
  </x:sheetData>
  <x:pageMargins left="0.7" right="0.7" top="0.75" bottom="0.75" header="0.3" footer="0.3"/>
</x:worksheet>
</file>

<file path=xl/worksheets/sheet2.xml><?xml version="1.0" encoding="utf-8"?>
<x:worksheet xmlns:x="http://schemas.openxmlformats.org/spreadsheetml/2006/main">
  <x:sheetPr>
    <x:tabColor rgb="FFC0504D"/>
  </x:sheetPr>
  <x:sheetViews>
    <x:sheetView showGridLines="0" workbookViewId="0">
      <x:pane ySplit="4" topLeftCell="A5" activePane="bottomLeft" state="frozen"/>
    </x:sheetView>
  </x:sheetViews>
  <x:sheetFormatPr defaultRowHeight="15"/>
  <x:cols>
    <x:col min="1" max="1" width="29" hidden="0" customWidth="1"/>
    <x:col min="2" max="2" width="115" hidden="0" customWidth="1"/>
  </x:cols>
  <x:sheetData>
    <x:row r="1">
      <x:c r="A1" s="1"/>
      <x:c r="B1" s="1"/>
      <x:c r="C1" s="1"/>
      <x:c r="D1" s="1"/>
      <x:c r="E1" s="1"/>
      <x:c r="F1" s="1"/>
      <x:c r="G1" s="1"/>
      <x:c r="H1" s="1"/>
    </x:row>
    <x:row r="2">
      <x:c r="A2" s="2" t="str">
        <x:v>Individual risk record</x:v>
      </x:c>
      <x:c r="B2" s="1"/>
      <x:c r="C2" s="1"/>
      <x:c r="D2" s="1"/>
      <x:c r="E2" s="1"/>
      <x:c r="F2" s="1"/>
      <x:c r="G2" s="1"/>
      <x:c r="H2" s="1"/>
    </x:row>
    <x:row r="3" ht="24" customHeight="1">
      <x:c r="A3" s="1" t="str">
        <x:v>Choose a Record ID in B4. Read-only formula view; make edits in RiskRegister.</x:v>
      </x:c>
      <x:c r="B3" s="1"/>
      <x:c r="C3" s="1"/>
      <x:c r="D3" s="1"/>
      <x:c r="E3" s="1"/>
      <x:c r="F3" s="1"/>
      <x:c r="G3" s="1"/>
      <x:c r="H3" s="1"/>
    </x:row>
    <x:row r="4">
      <x:c r="A4" s="1" t="str">
        <x:v>Record ID</x:v>
      </x:c>
      <x:c r="B4" s="23" t="str">
        <x:v>R-001</x:v>
      </x:c>
    </x:row>
    <x:row r="5">
      <x:c r="A5" s="1"/>
      <x:c r="B5" s="1"/>
    </x:row>
    <x:row r="6" ht="30" customHeight="1">
      <x:c r="A6" s="32" t="str">
        <x:v>Risk Code</x:v>
      </x:c>
      <x:c r="B6" s="32" t="str">
        <x:f>IF($B$4="","Choose a Record ID",INDEX(RiskRegister!$B$6:$B$49,MATCH($B$4,RiskRegister!$A$6:$A$49,0)))</x:f>
        <x:v>F1-E-01</x:v>
      </x:c>
    </x:row>
    <x:row r="7" ht="30" customHeight="1">
      <x:c r="A7" s="33" t="str">
        <x:v>Risk title</x:v>
      </x:c>
      <x:c r="B7" s="33" t="str">
        <x:f>IF($B$4="","Choose a Record ID",INDEX(RiskRegister!$C$6:$C$49,MATCH($B$4,RiskRegister!$A$6:$A$49,0)))</x:f>
        <x:v>Pandemic-response costs exceed available funds</x:v>
      </x:c>
    </x:row>
    <x:row r="8" ht="30" customHeight="1">
      <x:c r="A8" s="32" t="str">
        <x:v>FIRM area</x:v>
      </x:c>
      <x:c r="B8" s="32" t="str">
        <x:f>IF($B$4="","Choose a Record ID",INDEX(RiskRegister!$D$6:$D$49,MATCH($B$4,RiskRegister!$A$6:$A$49,0)))</x:f>
        <x:v>Financial</x:v>
      </x:c>
    </x:row>
    <x:row r="9" ht="30" customHeight="1">
      <x:c r="A9" s="33" t="str">
        <x:v>Index item</x:v>
      </x:c>
      <x:c r="B9" s="33" t="n">
        <x:f>IF($B$4="","Choose a Record ID",INDEX(RiskRegister!$E$6:$E$49,MATCH($B$4,RiskRegister!$A$6:$A$49,0)))</x:f>
        <x:v>1.1</x:v>
      </x:c>
    </x:row>
    <x:row r="10" ht="30" customHeight="1">
      <x:c r="A10" s="32" t="str">
        <x:v>Primary source</x:v>
      </x:c>
      <x:c r="B10" s="32" t="str">
        <x:f>IF($B$4="","Choose a Record ID",INDEX(RiskRegister!$F$6:$F$49,MATCH($B$4,RiskRegister!$A$6:$A$49,0)))</x:f>
        <x:v>E</x:v>
      </x:c>
    </x:row>
    <x:row r="11" ht="30" customHeight="1">
      <x:c r="A11" s="33" t="str">
        <x:v>Classification status</x:v>
      </x:c>
      <x:c r="B11" s="33" t="str">
        <x:f>IF($B$4="","Choose a Record ID",INDEX(RiskRegister!$G$6:$G$49,MATCH($B$4,RiskRegister!$A$6:$A$49,0)))</x:f>
        <x:v>Provisional</x:v>
      </x:c>
    </x:row>
    <x:row r="12" ht="30" customHeight="1">
      <x:c r="A12" s="32" t="str">
        <x:v>Assessment status</x:v>
      </x:c>
      <x:c r="B12" s="32" t="str">
        <x:f>IF($B$4="","Choose a Record ID",INDEX(RiskRegister!$H$6:$H$49,MATCH($B$4,RiskRegister!$A$6:$A$49,0)))</x:f>
        <x:v>Agreed with Chris; scores provisional</x:v>
      </x:c>
    </x:row>
    <x:row r="13" ht="72" customHeight="1">
      <x:c r="A13" s="33" t="str">
        <x:v>Cause or trigger</x:v>
      </x:c>
      <x:c r="B13" s="33" t="str">
        <x:f>IF($B$4="","Choose a Record ID",INDEX(RiskRegister!$I$6:$I$49,MATCH($B$4,RiskRegister!$A$6:$A$49,0)))</x:f>
        <x:v>Urgent, unplanned spending on equipment, training, technology and continuity arrangements.</x:v>
      </x:c>
    </x:row>
    <x:row r="14" ht="72" customHeight="1">
      <x:c r="A14" s="32" t="str">
        <x:v>Risk event</x:v>
      </x:c>
      <x:c r="B14" s="32" t="str">
        <x:f>IF($B$4="","Choose a Record ID",INDEX(RiskRegister!$J$6:$J$49,MATCH($B$4,RiskRegister!$A$6:$A$49,0)))</x:f>
        <x:v>Required pandemic-response spending exceeds the funds available when needed.</x:v>
      </x:c>
    </x:row>
    <x:row r="15" ht="72" customHeight="1">
      <x:c r="A15" s="33" t="str">
        <x:v>Potential impact</x:v>
      </x:c>
      <x:c r="B15" s="33" t="str">
        <x:f>IF($B$4="","Choose a Record ID",INDEX(RiskRegister!$K$6:$K$49,MATCH($B$4,RiskRegister!$A$6:$A$49,0)))</x:f>
        <x:v>Essential improvements may be delayed or funds diverted from other commitments, weakening continuity and policyholder protection.</x:v>
      </x:c>
    </x:row>
    <x:row r="16" ht="30" customHeight="1">
      <x:c r="A16" s="32" t="str">
        <x:v>Objective or dependency</x:v>
      </x:c>
      <x:c r="B16" s="32" t="str">
        <x:f>IF($B$4="","Choose a Record ID",INDEX(RiskRegister!$L$6:$L$49,MATCH($B$4,RiskRegister!$A$6:$A$49,0)))</x:f>
        <x:v>Funding essential services</x:v>
      </x:c>
    </x:row>
    <x:row r="17" ht="30" customHeight="1">
      <x:c r="A17" s="33" t="str">
        <x:v>Likelihood horizon</x:v>
      </x:c>
      <x:c r="B17" s="33" t="str">
        <x:f>IF($B$4="","Choose a Record ID",INDEX(RiskRegister!$M$6:$M$49,MATCH($B$4,RiskRegister!$A$6:$A$49,0)))</x:f>
        <x:v>2020-04-01 to 2020-06-30</x:v>
      </x:c>
    </x:row>
    <x:row r="18" ht="30" customHeight="1">
      <x:c r="A18" s="32" t="str">
        <x:v>Likelihood</x:v>
      </x:c>
      <x:c r="B18" s="32" t="n">
        <x:f>IF($B$4="","Choose a Record ID",INDEX(RiskRegister!$N$6:$N$49,MATCH($B$4,RiskRegister!$A$6:$A$49,0)))</x:f>
        <x:v>3</x:v>
      </x:c>
    </x:row>
    <x:row r="19" ht="30" customHeight="1">
      <x:c r="A19" s="33" t="str">
        <x:v>Magnitude</x:v>
      </x:c>
      <x:c r="B19" s="33" t="n">
        <x:f>IF($B$4="","Choose a Record ID",INDEX(RiskRegister!$O$6:$O$49,MATCH($B$4,RiskRegister!$A$6:$A$49,0)))</x:f>
        <x:v>4</x:v>
      </x:c>
    </x:row>
    <x:row r="20" ht="30" customHeight="1">
      <x:c r="A20" s="32" t="str">
        <x:v>Inherent rating</x:v>
      </x:c>
      <x:c r="B20" s="32" t="str">
        <x:f>IF($B$4="","Choose a Record ID",INDEX(RiskRegister!$P$6:$P$49,MATCH($B$4,RiskRegister!$A$6:$A$49,0)))</x:f>
        <x:v>High</x:v>
      </x:c>
    </x:row>
    <x:row r="21" ht="72" customHeight="1">
      <x:c r="A21" s="33" t="str">
        <x:v>Likelihood reasoning</x:v>
      </x:c>
      <x:c r="B21" s="33" t="str">
        <x:f>IF($B$4="","Choose a Record ID",INDEX(RiskRegister!$Q$6:$Q$49,MATCH($B$4,RiskRegister!$A$6:$A$49,0)))</x:f>
        <x:v>Urgent costs could exceed available funding, but no response budget or cash forecast establishes that a shortfall is likely.</x:v>
      </x:c>
    </x:row>
    <x:row r="22" ht="72" customHeight="1">
      <x:c r="A22" s="32" t="str">
        <x:v>Magnitude reasoning</x:v>
      </x:c>
      <x:c r="B22" s="32" t="str">
        <x:f>IF($B$4="","Choose a Record ID",INDEX(RiskRegister!$R$6:$R$49,MATCH($B$4,RiskRegister!$A$6:$A$49,0)))</x:f>
        <x:v>Major assumes a shortfall large enough to delay essential measures, rather than a minor budget overrun.</x:v>
      </x:c>
    </x:row>
    <x:row r="23" ht="72" customHeight="1">
      <x:c r="A23" s="33" t="str">
        <x:v>Existing controls</x:v>
      </x:c>
      <x:c r="B23" s="33" t="str">
        <x:f>IF($B$4="","Choose a Record ID",INDEX(RiskRegister!$S$6:$S$49,MATCH($B$4,RiskRegister!$A$6:$A$49,0)))</x:f>
        <x:v>Financial modelling of funds and expected expenditure.</x:v>
      </x:c>
    </x:row>
    <x:row r="24" ht="72" customHeight="1">
      <x:c r="A24" s="32" t="str">
        <x:v>Control evidence status</x:v>
      </x:c>
      <x:c r="B24" s="32" t="str">
        <x:f>IF($B$4="","Choose a Record ID",INDEX(RiskRegister!$T$6:$T$49,MATCH($B$4,RiskRegister!$A$6:$A$49,0)))</x:f>
        <x:v>Reported in Sam’s draft; implementation and scope require verification.</x:v>
      </x:c>
    </x:row>
    <x:row r="25" ht="72" customHeight="1">
      <x:c r="A25" s="33" t="str">
        <x:v>Control effectiveness</x:v>
      </x:c>
      <x:c r="B25" s="33" t="str">
        <x:f>IF($B$4="","Choose a Record ID",INDEX(RiskRegister!$U$6:$U$49,MATCH($B$4,RiskRegister!$A$6:$A$49,0)))</x:f>
        <x:v>Forecasting can identify a funding shortfall but does not ensure funds are available. Financial modelling scope, pandemic costs, payment timing and available cash remain unverified.</x:v>
      </x:c>
    </x:row>
    <x:row r="26" ht="72" customHeight="1">
      <x:c r="A26" s="32" t="str">
        <x:v>Control gap or evidence needed</x:v>
      </x:c>
      <x:c r="B26" s="32" t="str">
        <x:f>IF($B$4="","Choose a Record ID",INDEX(RiskRegister!$V$6:$V$49,MATCH($B$4,RiskRegister!$A$6:$A$49,0)))</x:f>
        <x:v>Financial modelling scope, pandemic costs, payment timing and available cash remain unverified.</x:v>
      </x:c>
    </x:row>
    <x:row r="27" ht="30" customHeight="1">
      <x:c r="A27" s="33" t="str">
        <x:v>Tolerability</x:v>
      </x:c>
      <x:c r="B27" s="33" t="str">
        <x:f>IF($B$4="","Choose a Record ID",INDEX(RiskRegister!$W$6:$W$49,MATCH($B$4,RiskRegister!$A$6:$A$49,0)))</x:f>
        <x:v>Awaiting assessment</x:v>
      </x:c>
    </x:row>
    <x:row r="28" ht="72" customHeight="1">
      <x:c r="A28" s="32" t="str">
        <x:v>Tolerability reasoning</x:v>
      </x:c>
      <x:c r="B28" s="32" t="str">
        <x:f>IF($B$4="","Choose a Record ID",INDEX(RiskRegister!$X$6:$X$49,MATCH($B$4,RiskRegister!$A$6:$A$49,0)))</x:f>
        <x:v>The supplied information does not establish the remaining exposure after controls. Financial modelling scope, pandemic costs, payment timing and available cash remain unverified. A tolerability decision must consider the agreed appetite and the need to sustain funding essential services.</x:v>
      </x:c>
    </x:row>
    <x:row r="29" ht="72" customHeight="1">
      <x:c r="A29" s="33" t="str">
        <x:v>Controllability</x:v>
      </x:c>
      <x:c r="B29" s="33" t="str">
        <x:f>IF($B$4="","Choose a Record ID",INDEX(RiskRegister!$Y$6:$Y$49,MATCH($B$4,RiskRegister!$A$6:$A$49,0)))</x:f>
        <x:v>Controllability is partial: internal preparation and decisions can reduce exposure, while external conditions may remain beyond our control.</x:v>
      </x:c>
    </x:row>
    <x:row r="30" ht="72" customHeight="1">
      <x:c r="A30" s="32" t="str">
        <x:v>Business imperative</x:v>
      </x:c>
      <x:c r="B30" s="32" t="str">
        <x:f>IF($B$4="","Choose a Record ID",INDEX(RiskRegister!$Z$6:$Z$49,MATCH($B$4,RiskRegister!$A$6:$A$49,0)))</x:f>
        <x:v>Sustain funding essential services as part of meeting essential service and policyholder obligations. Business necessity does not itself make the exposure tolerable.</x:v>
      </x:c>
    </x:row>
    <x:row r="31" ht="72" customHeight="1">
      <x:c r="A31" s="33" t="str">
        <x:v>Longer-term exposure</x:v>
      </x:c>
      <x:c r="B31" s="33" t="str">
        <x:f>IF($B$4="","Choose a Record ID",INDEX(RiskRegister!$AA$6:$AA$49,MATCH($B$4,RiskRegister!$A$6:$A$49,0)))</x:f>
        <x:v>Consequences may extend beyond three months; reassess during weekly reviews. Initial likelihood horizon ends 2020-06-30; later information belongs to dated reviews.</x:v>
      </x:c>
    </x:row>
    <x:row r="32" ht="30" customHeight="1">
      <x:c r="A32" s="32" t="str">
        <x:v>Risk owner</x:v>
      </x:c>
      <x:c r="B32" s="32" t="str">
        <x:f>IF($B$4="","Choose a Record ID",INDEX(RiskRegister!$AB$6:$AB$49,MATCH($B$4,RiskRegister!$A$6:$A$49,0)))</x:f>
        <x:v>Finance Manager</x:v>
      </x:c>
    </x:row>
    <x:row r="33" ht="125" customHeight="1">
      <x:c r="A33" s="33" t="str">
        <x:v>Revision notes</x:v>
      </x:c>
      <x:c r="B33" s="33" t="str">
        <x:f>IF($B$4="","Choose a Record ID",INDEX(RiskRegister!$AC$6:$AC$49,MATCH($B$4,RiskRegister!$A$6:$A$49,0)))</x:f>
        <x:v>Cause, event and impact separated; wording aligned to pandemic onset. Source evidence and controls remain unverified. Decisions applied: Initial review; D12–D14. See Decision Log for specific before/after values.</x:v>
      </x:c>
    </x:row>
    <x:row r="34" ht="125" customHeight="1">
      <x:c r="A34" s="32" t="str">
        <x:v>Evidence and experience</x:v>
      </x:c>
      <x:c r="B34" s="32" t="str">
        <x:f>IF($B$4="","Choose a Record ID",INDEX(RiskRegister!$AD$6:$AD$49,MATCH($B$4,RiskRegister!$A$6:$A$49,0)))</x:f>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row>
    <x:row r="35" ht="55" customHeight="1">
      <x:c r="A35" s="33" t="str">
        <x:v>Record status</x:v>
      </x:c>
      <x:c r="B35" s="33" t="str">
        <x:f>IF($B$4="","Choose a Record ID",IF(INDEX(RiskRegister!$AE$6:$AE$49,MATCH($B$4,RiskRegister!$A$6:$A$49,0))="","",INDEX(RiskRegister!$AE$6:$AE$49,MATCH($B$4,RiskRegister!$A$6:$A$49,0))))</x:f>
        <x:v>Active</x:v>
      </x:c>
    </x:row>
    <x:row r="36" ht="55" customHeight="1">
      <x:c r="A36" s="33" t="str">
        <x:v>Consolidated into</x:v>
      </x:c>
      <x:c r="B36" s="33" t="str">
        <x:f>IF($B$4="","Choose a Record ID",IF(INDEX(RiskRegister!$AF$6:$AF$49,MATCH($B$4,RiskRegister!$A$6:$A$49,0))="","",INDEX(RiskRegister!$AF$6:$AF$49,MATCH($B$4,RiskRegister!$A$6:$A$49,0))))</x:f>
      </x:c>
    </x:row>
    <x:row r="37" ht="55" customHeight="1">
      <x:c r="A37" s="33" t="str">
        <x:v>Assessment as of</x:v>
      </x:c>
      <x:c r="B37" s="43" t="n">
        <x:f>IF($B$4="","Choose a Record ID",IF(INDEX(RiskRegister!$AG$6:$AG$49,MATCH($B$4,RiskRegister!$A$6:$A$49,0))="","",INDEX(RiskRegister!$AG$6:$AG$49,MATCH($B$4,RiskRegister!$A$6:$A$49,0))))</x:f>
        <x:v>43922</x:v>
      </x:c>
    </x:row>
    <x:row r="38" ht="55" customHeight="1">
      <x:c r="A38" s="33" t="str">
        <x:v>Horizon end</x:v>
      </x:c>
      <x:c r="B38" s="43" t="n">
        <x:f>IF($B$4="","Choose a Record ID",IF(INDEX(RiskRegister!$AH$6:$AH$49,MATCH($B$4,RiskRegister!$A$6:$A$49,0))="","",INDEX(RiskRegister!$AH$6:$AH$49,MATCH($B$4,RiskRegister!$A$6:$A$49,0))))</x:f>
        <x:v>44012</x:v>
      </x:c>
    </x:row>
    <x:row r="39" ht="55" customHeight="1">
      <x:c r="A39" s="33" t="str">
        <x:v>Owner designation</x:v>
      </x:c>
      <x:c r="B39" s="33" t="str">
        <x:f>IF($B$4="","Choose a Record ID",IF(INDEX(RiskRegister!$AI$6:$AI$49,MATCH($B$4,RiskRegister!$A$6:$A$49,0))="","",INDEX(RiskRegister!$AI$6:$AI$49,MATCH($B$4,RiskRegister!$A$6:$A$49,0))))</x:f>
        <x:v>Proposed accountable role; individual to be designated</x:v>
      </x:c>
    </x:row>
    <x:row r="40" ht="55" customHeight="1">
      <x:c r="A40" s="33" t="str">
        <x:v>Decision references</x:v>
      </x:c>
      <x:c r="B40" s="33" t="str">
        <x:f>IF($B$4="","Choose a Record ID",IF(INDEX(RiskRegister!$AJ$6:$AJ$49,MATCH($B$4,RiskRegister!$A$6:$A$49,0))="","",INDEX(RiskRegister!$AJ$6:$AJ$49,MATCH($B$4,RiskRegister!$A$6:$A$49,0))))</x:f>
        <x:v>Initial review; D12; D13; D14; D18</x:v>
      </x:c>
    </x:row>
    <x:row r="41" ht="55" customHeight="1">
      <x:c r="A41" s="33" t="str">
        <x:v>Assessment approval</x:v>
      </x:c>
      <x:c r="B41" s="33" t="str">
        <x:f>IF($B$4="","Choose a Record ID",IF(INDEX(RiskRegister!$AK$6:$AK$49,MATCH($B$4,RiskRegister!$A$6:$A$49,0))="","",INDEX(RiskRegister!$AK$6:$AK$49,MATCH($B$4,RiskRegister!$A$6:$A$49,0))))</x:f>
        <x:v>D18 agreed: decision remains unresolved pending material financial evidence; exposure is not accepted.</x:v>
      </x:c>
    </x:row>
  </x:sheetData>
  <x:dataValidations count="1">
    <x:dataValidation type="list" sqref="B4">
      <x:formula1>'RiskRegister'!$A$6:$A$49</x:formula1>
    </x:dataValidation>
  </x:dataValidations>
  <x:pageMargins left="0.7" right="0.7" top="0.75" bottom="0.75" header="0.3" footer="0.3"/>
</x:worksheet>
</file>

<file path=xl/worksheets/sheet3.xml><?xml version="1.0" encoding="utf-8"?>
<x:worksheet xmlns:x="http://schemas.openxmlformats.org/spreadsheetml/2006/main">
  <x:sheetPr>
    <x:tabColor rgb="FFC0504D"/>
  </x:sheetPr>
  <x:sheetViews>
    <x:sheetView showGridLines="0" workbookViewId="0">
      <x:pane xSplit="2" ySplit="5" topLeftCell="C6" activePane="bottomRight" state="frozen"/>
    </x:sheetView>
  </x:sheetViews>
  <x:sheetFormatPr defaultRowHeight="15"/>
  <x:cols>
    <x:col min="1" max="1" width="12" hidden="0" customWidth="1"/>
    <x:col min="2" max="2" width="15" hidden="0" customWidth="1"/>
    <x:col min="3" max="3" width="38" hidden="0" customWidth="1"/>
    <x:col min="4" max="4" width="17" hidden="0" customWidth="1"/>
    <x:col min="5" max="5" width="12" hidden="0" customWidth="1"/>
    <x:col min="6" max="6" width="12" hidden="0" customWidth="1"/>
    <x:col min="7" max="7" width="18" hidden="0" customWidth="1"/>
    <x:col min="8" max="8" width="25" hidden="0" customWidth="1"/>
    <x:col min="9" max="9" width="48" hidden="0" customWidth="1"/>
    <x:col min="10" max="10" width="48" hidden="0" customWidth="1"/>
    <x:col min="11" max="11" width="52" hidden="0" customWidth="1"/>
    <x:col min="12" max="12" width="32" hidden="0" customWidth="1"/>
    <x:col min="13" max="13" width="22" hidden="0" customWidth="1"/>
    <x:col min="14" max="14" width="12" hidden="0" customWidth="1"/>
    <x:col min="15" max="15" width="12" hidden="0" customWidth="1"/>
    <x:col min="16" max="16" width="17" hidden="0" customWidth="1"/>
    <x:col min="17" max="17" width="54" hidden="0" customWidth="1"/>
    <x:col min="18" max="18" width="54" hidden="0" customWidth="1"/>
    <x:col min="19" max="19" width="48" hidden="0" customWidth="1"/>
    <x:col min="20" max="20" width="40" hidden="0" customWidth="1"/>
    <x:col min="21" max="21" width="58" hidden="0" customWidth="1"/>
    <x:col min="22" max="22" width="52" hidden="0" customWidth="1"/>
    <x:col min="23" max="23" width="24" hidden="0" customWidth="1"/>
    <x:col min="24" max="24" width="62" hidden="0" customWidth="1"/>
    <x:col min="25" max="25" width="48" hidden="0" customWidth="1"/>
    <x:col min="26" max="26" width="48" hidden="0" customWidth="1"/>
    <x:col min="27" max="27" width="48" hidden="0" customWidth="1"/>
    <x:col min="28" max="28" width="20" hidden="0" customWidth="1"/>
    <x:col min="29" max="29" width="64" hidden="0" customWidth="1"/>
    <x:col min="30" max="30" width="65" hidden="0" customWidth="1"/>
    <x:col min="31" max="31" width="18" hidden="0" customWidth="1"/>
    <x:col min="32" max="32" width="34" hidden="0" customWidth="1"/>
    <x:col min="33" max="33" width="17" hidden="0" customWidth="1"/>
    <x:col min="34" max="34" width="17" hidden="0" customWidth="1"/>
    <x:col min="35" max="35" width="42" hidden="0" customWidth="1"/>
    <x:col min="36" max="36" width="38" hidden="0" customWidth="1"/>
    <x:col min="37" max="37" width="43" hidden="0" customWidth="1"/>
  </x:cols>
  <x:sheetData>
    <x:row r="1">
      <x:c r="A1" s="1"/>
      <x:c r="B1" s="1"/>
      <x:c r="C1" s="1"/>
      <x:c r="D1" s="1"/>
      <x:c r="E1" s="1"/>
      <x:c r="F1" s="1"/>
      <x:c r="G1" s="1"/>
      <x:c r="H1" s="1"/>
    </x:row>
    <x:row r="2">
      <x:c r="A2" s="2" t="str">
        <x:v>RiskRegister</x:v>
      </x:c>
      <x:c r="B2" s="1"/>
      <x:c r="C2" s="1"/>
      <x:c r="D2" s="1"/>
      <x:c r="E2" s="1"/>
      <x:c r="F2" s="1"/>
      <x:c r="G2" s="1"/>
      <x:c r="H2" s="1"/>
    </x:row>
    <x:row r="3" ht="24" customHeight="1">
      <x:c r="A3" s="1" t="str">
        <x:v>Part 3 initial assessment. As of 2020-04-01; horizon through 2020-06-30. Inherent matrix ratings and draft tolerability decisions are separate.</x:v>
      </x:c>
      <x:c r="B3" s="1"/>
      <x:c r="C3" s="1"/>
      <x:c r="D3" s="1"/>
      <x:c r="E3" s="1"/>
      <x:c r="F3" s="1"/>
      <x:c r="G3" s="1"/>
      <x:c r="H3" s="1"/>
    </x:row>
    <x:row r="5" ht="42" customHeight="1">
      <x:c r="A5" s="7" t="str">
        <x:v>Record ID</x:v>
      </x:c>
      <x:c r="B5" s="7" t="str">
        <x:v>Risk Code</x:v>
      </x:c>
      <x:c r="C5" s="7" t="str">
        <x:v>Risk title</x:v>
      </x:c>
      <x:c r="D5" s="7" t="str">
        <x:v>FIRM area</x:v>
      </x:c>
      <x:c r="E5" s="7" t="str">
        <x:v>Index item</x:v>
      </x:c>
      <x:c r="F5" s="7" t="str">
        <x:v>Primary source</x:v>
      </x:c>
      <x:c r="G5" s="7" t="str">
        <x:v>Classification status</x:v>
      </x:c>
      <x:c r="H5" s="7" t="str">
        <x:v>Assessment status</x:v>
      </x:c>
      <x:c r="I5" s="7" t="str">
        <x:v>Cause or trigger</x:v>
      </x:c>
      <x:c r="J5" s="7" t="str">
        <x:v>Risk event</x:v>
      </x:c>
      <x:c r="K5" s="7" t="str">
        <x:v>Potential impact</x:v>
      </x:c>
      <x:c r="L5" s="7" t="str">
        <x:v>Objective or dependency</x:v>
      </x:c>
      <x:c r="M5" s="7" t="str">
        <x:v>Likelihood horizon</x:v>
      </x:c>
      <x:c r="N5" s="7" t="str">
        <x:v>Likelihood</x:v>
      </x:c>
      <x:c r="O5" s="7" t="str">
        <x:v>Magnitude</x:v>
      </x:c>
      <x:c r="P5" s="7" t="str">
        <x:v>Inherent rating</x:v>
      </x:c>
      <x:c r="Q5" s="7" t="str">
        <x:v>Likelihood reasoning</x:v>
      </x:c>
      <x:c r="R5" s="7" t="str">
        <x:v>Magnitude reasoning</x:v>
      </x:c>
      <x:c r="S5" s="7" t="str">
        <x:v>Existing controls</x:v>
      </x:c>
      <x:c r="T5" s="7" t="str">
        <x:v>Control evidence status</x:v>
      </x:c>
      <x:c r="U5" s="7" t="str">
        <x:v>Control effectiveness</x:v>
      </x:c>
      <x:c r="V5" s="7" t="str">
        <x:v>Control gap or evidence needed</x:v>
      </x:c>
      <x:c r="W5" s="7" t="str">
        <x:v>Tolerability</x:v>
      </x:c>
      <x:c r="X5" s="7" t="str">
        <x:v>Tolerability reasoning</x:v>
      </x:c>
      <x:c r="Y5" s="7" t="str">
        <x:v>Controllability</x:v>
      </x:c>
      <x:c r="Z5" s="7" t="str">
        <x:v>Business imperative</x:v>
      </x:c>
      <x:c r="AA5" s="7" t="str">
        <x:v>Longer-term exposure</x:v>
      </x:c>
      <x:c r="AB5" s="7" t="str">
        <x:v>Risk owner</x:v>
      </x:c>
      <x:c r="AC5" s="7" t="str">
        <x:v>Revision notes</x:v>
      </x:c>
      <x:c r="AD5" s="7" t="str">
        <x:v>Evidence and experience</x:v>
      </x:c>
      <x:c r="AE5" s="38" t="str">
        <x:v>Record status</x:v>
      </x:c>
      <x:c r="AF5" s="38" t="str">
        <x:v>Consolidated into</x:v>
      </x:c>
      <x:c r="AG5" s="38" t="str">
        <x:v>Assessment as of</x:v>
      </x:c>
      <x:c r="AH5" s="38" t="str">
        <x:v>Horizon end</x:v>
      </x:c>
      <x:c r="AI5" s="38" t="str">
        <x:v>Owner designation</x:v>
      </x:c>
      <x:c r="AJ5" s="38" t="str">
        <x:v>Decision references</x:v>
      </x:c>
      <x:c r="AK5" s="38" t="str">
        <x:v>Assessment approval</x:v>
      </x:c>
    </x:row>
    <x:row r="6" ht="180" customHeight="1">
      <x:c r="A6" s="8" t="str">
        <x:v>R-001</x:v>
      </x:c>
      <x:c r="B6" s="8" t="str">
        <x:v>F1-E-01</x:v>
      </x:c>
      <x:c r="C6" s="8" t="str">
        <x:v>Pandemic-response costs exceed available funds</x:v>
      </x:c>
      <x:c r="D6" s="8" t="str">
        <x:v>Financial</x:v>
      </x:c>
      <x:c r="E6" s="8" t="str">
        <x:v>1.1</x:v>
      </x:c>
      <x:c r="F6" s="8" t="str">
        <x:v>E</x:v>
      </x:c>
      <x:c r="G6" s="8" t="str">
        <x:v>Provisional</x:v>
      </x:c>
      <x:c r="H6" s="8" t="str">
        <x:v>Agreed with Chris; scores provisional</x:v>
      </x:c>
      <x:c r="I6" s="8" t="str">
        <x:v>Urgent, unplanned spending on equipment, training, technology and continuity arrangements.</x:v>
      </x:c>
      <x:c r="J6" s="8" t="str">
        <x:v>Required pandemic-response spending exceeds the funds available when needed.</x:v>
      </x:c>
      <x:c r="K6" s="8" t="str">
        <x:v>Essential improvements may be delayed or funds diverted from other commitments, weakening continuity and policyholder protection.</x:v>
      </x:c>
      <x:c r="L6" s="8" t="str">
        <x:v>Funding essential services</x:v>
      </x:c>
      <x:c r="M6" s="8" t="str">
        <x:v>2020-04-01 to 2020-06-30</x:v>
      </x:c>
      <x:c r="N6" s="9" t="n">
        <x:v>3</x:v>
      </x:c>
      <x:c r="O6" s="9" t="n">
        <x:v>4</x:v>
      </x:c>
      <x:c r="P6" s="10" t="str">
        <x:f>IF(AE6="Consolidated","Consolidated",IF(OR(N6="",O6=""),"Not assessed",INDEX('Assessment Guide'!$B$5:$F$9,N6,O6)))</x:f>
        <x:v>High</x:v>
      </x:c>
      <x:c r="Q6" s="8" t="str">
        <x:v>Urgent costs could exceed available funding, but no response budget or cash forecast establishes that a shortfall is likely.</x:v>
      </x:c>
      <x:c r="R6" s="8" t="str">
        <x:v>Major assumes a shortfall large enough to delay essential measures, rather than a minor budget overrun.</x:v>
      </x:c>
      <x:c r="S6" s="8" t="str">
        <x:v>Financial modelling of funds and expected expenditure.</x:v>
      </x:c>
      <x:c r="T6" s="8" t="str">
        <x:v>Reported in Sam’s draft; implementation and scope require verification.</x:v>
      </x:c>
      <x:c r="U6" s="8" t="str">
        <x:v>Forecasting can identify a funding shortfall but does not ensure funds are available. Financial modelling scope, pandemic costs, payment timing and available cash remain unverified.</x:v>
      </x:c>
      <x:c r="V6" s="8" t="str">
        <x:v>Financial modelling scope, pandemic costs, payment timing and available cash remain unverified.</x:v>
      </x:c>
      <x:c r="W6" s="8" t="str">
        <x:v>Awaiting assessment</x:v>
      </x:c>
      <x:c r="X6" s="8" t="str">
        <x:v>The supplied information does not establish the remaining exposure after controls. Financial modelling scope, pandemic costs, payment timing and available cash remain unverified. A tolerability decision must consider the agreed appetite and the need to sustain funding essential services.</x:v>
      </x:c>
      <x:c r="Y6" s="8" t="str">
        <x:v>Controllability is partial: internal preparation and decisions can reduce exposure, while external conditions may remain beyond our control.</x:v>
      </x:c>
      <x:c r="Z6" s="8" t="str">
        <x:v>Sustain funding essential services as part of meeting essential service and policyholder obligations. Business necessity does not itself make the exposure tolerable.</x:v>
      </x:c>
      <x:c r="AA6" s="8" t="str">
        <x:v>Consequences may extend beyond three months; reassess during weekly reviews. Initial likelihood horizon ends 2020-06-30; later information belongs to dated reviews.</x:v>
      </x:c>
      <x:c r="AB6" s="8" t="str">
        <x:v>Finance Manager</x:v>
      </x:c>
      <x:c r="AC6" s="8" t="str">
        <x:v>Cause, event and impact separated; wording aligned to pandemic onset. Source evidence and controls remain unverified. Decisions applied: Initial review; D12–D14. See Decision Log for specific before/after values.</x:v>
      </x:c>
      <x:c r="AD6" s="8"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6" s="5" t="str">
        <x:v>Active</x:v>
      </x:c>
      <x:c r="AF6" s="5" t="str"/>
      <x:c r="AG6" s="39" t="d">
        <x:v>2020-04-01T00:00:00.000Z</x:v>
      </x:c>
      <x:c r="AH6" s="39" t="d">
        <x:v>2020-06-30T00:00:00.000Z</x:v>
      </x:c>
      <x:c r="AI6" s="5" t="str">
        <x:v>Proposed accountable role; individual to be designated</x:v>
      </x:c>
      <x:c r="AJ6" s="5" t="str">
        <x:v>Initial review; D12; D13; D14; D18</x:v>
      </x:c>
      <x:c r="AK6" s="5" t="str">
        <x:v>D18 agreed: decision remains unresolved pending material financial evidence; exposure is not accepted.</x:v>
      </x:c>
    </x:row>
    <x:row r="7" ht="180" customHeight="1">
      <x:c r="A7" s="5" t="str">
        <x:v>R-002</x:v>
      </x:c>
      <x:c r="B7" s="5" t="str">
        <x:v>F1-S-01</x:v>
      </x:c>
      <x:c r="C7" s="5" t="str">
        <x:v>Tiva financial support is unavailable or unsuitable</x:v>
      </x:c>
      <x:c r="D7" s="5" t="str">
        <x:v>Financial</x:v>
      </x:c>
      <x:c r="E7" s="5" t="str">
        <x:v>1.1</x:v>
      </x:c>
      <x:c r="F7" s="5" t="str">
        <x:v>S</x:v>
      </x:c>
      <x:c r="G7" s="5" t="str">
        <x:v>Provisional</x:v>
      </x:c>
      <x:c r="H7" s="5" t="str">
        <x:v>Agreed with Chris; scores provisional</x:v>
      </x:c>
      <x:c r="I7" s="5" t="str">
        <x:v>Competing demands across the group and unconfirmed support terms.</x:v>
      </x:c>
      <x:c r="J7" s="5" t="str">
        <x:v>Financial support sought from Tiva is unavailable, delayed or offered on unsuitable terms.</x:v>
      </x:c>
      <x:c r="K7" s="5" t="str">
        <x:v>Alternative funding may be required or essential pandemic expenditure delayed.</x:v>
      </x:c>
      <x:c r="L7" s="5" t="str">
        <x:v>Independent financial capacity</x:v>
      </x:c>
      <x:c r="M7" s="5" t="str">
        <x:v>2020-04-01 to 2020-06-30</x:v>
      </x:c>
      <x:c r="N7" s="9" t="n">
        <x:v>3</x:v>
      </x:c>
      <x:c r="O7" s="9" t="n">
        <x:v>4</x:v>
      </x:c>
      <x:c r="P7" s="11" t="str">
        <x:f>IF(AE7="Consolidated","Consolidated",IF(OR(N7="",O7=""),"Not assessed",INDEX('Assessment Guide'!$B$5:$F$9,N7,O7)))</x:f>
        <x:v>High</x:v>
      </x:c>
      <x:c r="Q7" s="5" t="str">
        <x:v>Competing group demands make delay plausible. Unconfirmed support alone does not establish its probability of being unavailable.</x:v>
      </x:c>
      <x:c r="R7" s="5" t="str">
        <x:v>Major is conditional on essential expenditure needing Tiva support and insufficient alternatives. Dependence has not been established.</x:v>
      </x:c>
      <x:c r="S7" s="5" t="str">
        <x:v>Financial modelling may assess funding needs and independent financial capacity; a scenario without Tiva support is unverified.</x:v>
      </x:c>
      <x:c r="T7" s="5" t="str">
        <x:v>Reported in Sam’s draft; implementation and scope require verification.</x:v>
      </x:c>
      <x:c r="U7" s="5" t="str">
        <x:v>Forecasting can identify a funding shortfall but does not ensure funds are available. Requested funding, independent funding capacity, support terms and alternatives need confirmation.</x:v>
      </x:c>
      <x:c r="V7" s="5" t="str">
        <x:v>Requested funding, independent funding capacity, support terms and alternatives need confirmation.</x:v>
      </x:c>
      <x:c r="W7" s="5" t="str">
        <x:v>Awaiting assessment</x:v>
      </x:c>
      <x:c r="X7" s="5" t="str">
        <x:v>The supplied information does not establish the remaining exposure after controls. Requested funding, independent funding capacity, support terms and alternatives need confirmation. A tolerability decision must consider the agreed appetite and the need to sustain independent financial capacity.</x:v>
      </x:c>
      <x:c r="Y7" s="5" t="str">
        <x:v>Controllability is partial: internal preparation and decisions can reduce exposure, while external conditions may remain beyond our control.</x:v>
      </x:c>
      <x:c r="Z7" s="5" t="str">
        <x:v>Sustain independent financial capacity as part of meeting essential service and policyholder obligations. Business necessity does not itself make the exposure tolerable.</x:v>
      </x:c>
      <x:c r="AA7" s="5" t="str">
        <x:v>Consequences may extend beyond three months; reassess during weekly reviews. Initial likelihood horizon ends 2020-06-30; later information belongs to dated reviews.</x:v>
      </x:c>
      <x:c r="AB7" s="5" t="str">
        <x:v>Finance Manager</x:v>
      </x:c>
      <x:c r="AC7" s="5" t="str">
        <x:v>Cause, event and impact separated; wording aligned to pandemic onset. Source evidence and controls remain unverified. Decisions applied: Initial review; D12–D14. See Decision Log for specific before/after values.</x:v>
      </x:c>
      <x:c r="AD7" s="5"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7" s="5" t="str">
        <x:v>Active</x:v>
      </x:c>
      <x:c r="AF7" s="5" t="str"/>
      <x:c r="AG7" s="39" t="d">
        <x:v>2020-04-01T00:00:00.000Z</x:v>
      </x:c>
      <x:c r="AH7" s="39" t="d">
        <x:v>2020-06-30T00:00:00.000Z</x:v>
      </x:c>
      <x:c r="AI7" s="5" t="str">
        <x:v>Proposed accountable role; individual to be designated</x:v>
      </x:c>
      <x:c r="AJ7" s="5" t="str">
        <x:v>Initial review; D12; D13; D14; D18</x:v>
      </x:c>
      <x:c r="AK7" s="5" t="str">
        <x:v>D18 agreed: decision remains unresolved pending material financial evidence; exposure is not accepted.</x:v>
      </x:c>
    </x:row>
    <x:row r="8" ht="180" customHeight="1">
      <x:c r="A8" s="8" t="str">
        <x:v>R-003</x:v>
      </x:c>
      <x:c r="B8" s="8" t="str">
        <x:v>F2-G-01</x:v>
      </x:c>
      <x:c r="C8" s="8" t="str">
        <x:v>Resources are allocated away from significant risks</x:v>
      </x:c>
      <x:c r="D8" s="8" t="str">
        <x:v>Financial</x:v>
      </x:c>
      <x:c r="E8" s="8" t="str">
        <x:v>1.2</x:v>
      </x:c>
      <x:c r="F8" s="8" t="str">
        <x:v>G</x:v>
      </x:c>
      <x:c r="G8" s="8" t="str">
        <x:v>Approved</x:v>
      </x:c>
      <x:c r="H8" s="8" t="str">
        <x:v>Revised draft for review</x:v>
      </x:c>
      <x:c r="I8" s="8" t="str">
        <x:v>Allocation decisions do not consistently consider exposure, urgency and dependencies.</x:v>
      </x:c>
      <x:c r="J8" s="8" t="str">
        <x:v>Funding and specialist capacity are directed away from essential risk priorities.</x:v>
      </x:c>
      <x:c r="K8" s="8" t="str">
        <x:v>Critical controls may remain under-resourced while less urgent work consumes capacity, increasing service and financial exposure.</x:v>
      </x:c>
      <x:c r="L8" s="8" t="str">
        <x:v>Resource allocation across essential functions</x:v>
      </x:c>
      <x:c r="M8" s="8" t="str">
        <x:v>2020-04-01 to 2020-06-30</x:v>
      </x:c>
      <x:c r="N8" s="9" t="n">
        <x:v>3</x:v>
      </x:c>
      <x:c r="O8" s="9" t="n">
        <x:v>4</x:v>
      </x:c>
      <x:c r="P8" s="10" t="str">
        <x:f>IF(AE8="Consolidated","Consolidated",IF(OR(N8="",O8=""),"Not assessed",INDEX('Assessment Guide'!$B$5:$F$9,N8,O8)))</x:f>
        <x:v>High</x:v>
      </x:c>
      <x:c r="Q8" s="8" t="str">
        <x:v>Rapidly changing demands create a plausible allocation mismatch; the index alone does not prove current misallocation.</x:v>
      </x:c>
      <x:c r="R8" s="8" t="str">
        <x:v>A material mismatch could leave essential continuity measures unfunded and threaten obligations.</x:v>
      </x:c>
      <x:c r="S8" s="8" t="str">
        <x:v>Assumption from Sam: financial modelling is in use for funds and expenditure. The case confirms financial activities, not this control.</x:v>
      </x:c>
      <x:c r="T8" s="8" t="str">
        <x:v>Mixed evidence: case arrangements plus explicit team assumptions; see Evidence and experience.</x:v>
      </x:c>
      <x:c r="U8" s="8" t="str">
        <x:v>Modelling can identify pressure but does not provide cash, prevent losses or prove scenario coverage. Effectiveness is unverified.</x:v>
      </x:c>
      <x:c r="V8" s="8" t="str">
        <x:v>Evidence that budgets follow agreed priorities and delegated authority is missing.</x:v>
      </x:c>
      <x:c r="W8" s="8" t="str">
        <x:v>Not tolerable</x:v>
      </x:c>
      <x:c r="X8" s="8" t="str">
        <x:v>Not tolerable on the working assumption that allocation and oversight gaps leave essential priorities under-resourced. Continuing operations requires coordinated allocation, not acceptance of unmanaged misallocation.</x:v>
      </x:c>
      <x:c r="Y8" s="8" t="str">
        <x:v>Controllability is substantial for the identified internal cause, subject to available resources and verified implementation.</x:v>
      </x:c>
      <x:c r="Z8" s="8" t="str">
        <x:v>Sustain resource allocation across essential functions as part of meeting essential service and policyholder obligations. Business necessity does not itself make the exposure tolerable.</x:v>
      </x:c>
      <x:c r="AA8" s="8" t="str">
        <x:v>Consequences may extend beyond three months; reassess during weekly reviews. Initial likelihood horizon ends 2020-06-30; later information belongs to dated reviews.</x:v>
      </x:c>
      <x:c r="AB8" s="8" t="str">
        <x:v>Finance Manager</x:v>
      </x:c>
      <x:c r="AC8" s="8" t="str">
        <x:v>Cause, event and impact separated; wording aligned to pandemic onset. Source evidence and controls remain unverified. Proposed code F2-P-01 to F2-G-01 based on primary cause or index placement. Proposed scores 4/3 to 3/4; see assessment reasoning. D01: Chris approved the Governance and Processes classification on 2026-10-18 (project review). Scores and other assessments remain provisional. Decisions applied: D01; D12–D14. See Decision Log for specific before/after values.</x:v>
      </x:c>
      <x:c r="AD8" s="8"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8" s="5" t="str">
        <x:v>Active</x:v>
      </x:c>
      <x:c r="AF8" s="5" t="str"/>
      <x:c r="AG8" s="39" t="d">
        <x:v>2020-04-01T00:00:00.000Z</x:v>
      </x:c>
      <x:c r="AH8" s="39" t="d">
        <x:v>2020-06-30T00:00:00.000Z</x:v>
      </x:c>
      <x:c r="AI8" s="5" t="str">
        <x:v>Proposed accountable role; individual to be designated</x:v>
      </x:c>
      <x:c r="AJ8" s="5" t="str">
        <x:v>D01; D12; D13; D14; D18</x:v>
      </x:c>
      <x:c r="AK8" s="5" t="str">
        <x:v>D18 project conclusion agreed; provisional assessment subject to stated controls, evidence and assumptions.</x:v>
      </x:c>
    </x:row>
    <x:row r="9" ht="180" customHeight="1">
      <x:c r="A9" s="5" t="str">
        <x:v>R-004</x:v>
      </x:c>
      <x:c r="B9" s="5" t="str">
        <x:v>F2-E-01</x:v>
      </x:c>
      <x:c r="C9" s="5" t="str">
        <x:v>Urgent claims require investment sales at a loss</x:v>
      </x:c>
      <x:c r="D9" s="5" t="str">
        <x:v>Financial</x:v>
      </x:c>
      <x:c r="E9" s="5" t="str">
        <x:v>1.2</x:v>
      </x:c>
      <x:c r="F9" s="5" t="str">
        <x:v>E</x:v>
      </x:c>
      <x:c r="G9" s="5" t="str">
        <x:v>Provisional</x:v>
      </x:c>
      <x:c r="H9" s="5" t="str">
        <x:v>Revised draft for review</x:v>
      </x:c>
      <x:c r="I9" s="5" t="str">
        <x:v>Claims payments accelerate while asset prices fall and liquid funds are constrained.</x:v>
      </x:c>
      <x:c r="J9" s="5" t="str">
        <x:v>Investments must be sold at unfavourable prices to meet immediate cash needs.</x:v>
      </x:c>
      <x:c r="K9" s="5" t="str">
        <x:v>Realized losses reduce financial capacity and future returns, potentially weakening claims funding.</x:v>
      </x:c>
      <x:c r="L9" s="5" t="str">
        <x:v>Claims liquidity</x:v>
      </x:c>
      <x:c r="M9" s="5" t="str">
        <x:v>2020-04-01 to 2020-06-30</x:v>
      </x:c>
      <x:c r="N9" s="9" t="n">
        <x:v>3</x:v>
      </x:c>
      <x:c r="O9" s="9" t="n">
        <x:v>4</x:v>
      </x:c>
      <x:c r="P9" s="11" t="str">
        <x:f>IF(AE9="Consolidated","Consolidated",IF(OR(N9="",O9=""),"Not assessed",INDEX('Assessment Guide'!$B$5:$F$9,N9,O9)))</x:f>
        <x:v>High</x:v>
      </x:c>
      <x:c r="Q9" s="5" t="str">
        <x:v>Simultaneous claims and market pressure make forced sales plausible, but cash-flow and asset maturity evidence is absent.</x:v>
      </x:c>
      <x:c r="R9" s="5" t="str">
        <x:v>Major assumes forced sales materially weaken financial capacity; modest planned sales would have less impact.</x:v>
      </x:c>
      <x:c r="S9" s="5" t="str">
        <x:v>Assumption from Sam: financial modelling is in use for funds and expenditure. The case confirms financial activities, not this control.</x:v>
      </x:c>
      <x:c r="T9" s="5" t="str">
        <x:v>Mixed evidence: case arrangements plus explicit team assumptions; see Evidence and experience.</x:v>
      </x:c>
      <x:c r="U9" s="5" t="str">
        <x:v>Modelling can identify pressure but does not provide cash, prevent losses or prove scenario coverage. Effectiveness is unverified.</x:v>
      </x:c>
      <x:c r="V9" s="5" t="str">
        <x:v>Cash forecasts, asset liquidity, planned sales and alternative funding need confirmation.</x:v>
      </x:c>
      <x:c r="W9" s="5" t="str">
        <x:v>Awaiting assessment</x:v>
      </x:c>
      <x:c r="X9" s="5" t="str">
        <x:v>Awaiting assessment: the case does not quantify the exposure and available financial capacity sufficiently to decide whether the remaining risk fits appetite. Cash forecasts, asset liquidity, planned sales and alternative funding need confirmation. Continued operations require this assessment; a High or Extreme inherent rating alone is not a tolerability decision.</x:v>
      </x:c>
      <x:c r="Y9" s="5" t="str">
        <x:v>Controllability is partial: internal preparation and decisions can reduce exposure, while external conditions may remain beyond our control.</x:v>
      </x:c>
      <x:c r="Z9" s="5" t="str">
        <x:v>Sustain claims liquidity as part of meeting essential service and policyholder obligations. Business necessity does not itself make the exposure tolerable.</x:v>
      </x:c>
      <x:c r="AA9" s="5" t="str">
        <x:v>Consequences may extend beyond three months; reassess during weekly reviews. Initial likelihood horizon ends 2020-06-30; later information belongs to dated reviews.</x:v>
      </x:c>
      <x:c r="AB9" s="5" t="str">
        <x:v>Finance Manager</x:v>
      </x:c>
      <x:c r="AC9" s="5" t="str">
        <x:v>Cause, event and impact separated; wording aligned to pandemic onset. Source evidence and controls remain unverified. Decisions applied: D11; D12–D14. See Decision Log for specific before/after values.</x:v>
      </x:c>
      <x:c r="AD9" s="5"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9" s="5" t="str">
        <x:v>Active</x:v>
      </x:c>
      <x:c r="AF9" s="5" t="str"/>
      <x:c r="AG9" s="39" t="d">
        <x:v>2020-04-01T00:00:00.000Z</x:v>
      </x:c>
      <x:c r="AH9" s="39" t="d">
        <x:v>2020-06-30T00:00:00.000Z</x:v>
      </x:c>
      <x:c r="AI9" s="5" t="str">
        <x:v>Proposed accountable role; individual to be designated</x:v>
      </x:c>
      <x:c r="AJ9" s="5" t="str">
        <x:v>D11; D12; D13; D14; D18</x:v>
      </x:c>
      <x:c r="AK9" s="5" t="str">
        <x:v>D18 agreed: decision remains unresolved pending material financial evidence; exposure is not accepted.</x:v>
      </x:c>
    </x:row>
    <x:row r="10" ht="180" customHeight="1">
      <x:c r="A10" s="8" t="str">
        <x:v>R-005</x:v>
      </x:c>
      <x:c r="B10" s="8" t="str">
        <x:v>F3-C-01</x:v>
      </x:c>
      <x:c r="C10" s="8" t="str">
        <x:v>Fraudulent claims obtain unauthorized payouts</x:v>
      </x:c>
      <x:c r="D10" s="8" t="str">
        <x:v>Financial</x:v>
      </x:c>
      <x:c r="E10" s="8" t="str">
        <x:v>1.3</x:v>
      </x:c>
      <x:c r="F10" s="8" t="str">
        <x:v>C</x:v>
      </x:c>
      <x:c r="G10" s="8" t="str">
        <x:v>Approved</x:v>
      </x:c>
      <x:c r="H10" s="8" t="str">
        <x:v>Revised draft for review</x:v>
      </x:c>
      <x:c r="I10" s="8" t="str">
        <x:v>Deliberate deception, fabricated evidence or account manipulation exploits verification weaknesses.</x:v>
      </x:c>
      <x:c r="J10" s="8" t="str">
        <x:v>Fraudulent claims are accepted and paid.</x:v>
      </x:c>
      <x:c r="K10" s="8" t="str">
        <x:v>Financial losses, investigation costs and customer mistrust may result; compromised accounts could also expose information.</x:v>
      </x:c>
      <x:c r="L10" s="8" t="str">
        <x:v>Accurate claims payments and customer information</x:v>
      </x:c>
      <x:c r="M10" s="8" t="str">
        <x:v>2020-04-01 to 2020-06-30</x:v>
      </x:c>
      <x:c r="N10" s="9" t="n">
        <x:v>3</x:v>
      </x:c>
      <x:c r="O10" s="9" t="n">
        <x:v>4</x:v>
      </x:c>
      <x:c r="P10" s="10" t="str">
        <x:f>IF(AE10="Consolidated","Consolidated",IF(OR(N10="",O10=""),"Not assessed",INDEX('Assessment Guide'!$B$5:$F$9,N10,O10)))</x:f>
        <x:v>High</x:v>
      </x:c>
      <x:c r="Q10" s="8" t="str">
        <x:v>Remote processing and verification pressure could enable fraud; no reliable frequency data supports a higher likelihood.</x:v>
      </x:c>
      <x:c r="R10" s="8" t="str">
        <x:v>Organized or repeated fraud could create substantial losses; isolated low-value fraud would be less severe.</x:v>
      </x:c>
      <x:c r="S10" s="8" t="str">
        <x:v>Case: record keeping and database administration. Assumption from Sam: an operational audit trail is maintained.</x:v>
      </x:c>
      <x:c r="T10" s="8" t="str">
        <x:v>Mixed evidence: case arrangements plus explicit team assumptions; see Evidence and experience.</x:v>
      </x:c>
      <x:c r="U10" s="8" t="str">
        <x:v>Records support detection and investigation. They do not demonstrate preventive approval, fraud detection or counterparty protection.</x:v>
      </x:c>
      <x:c r="V10" s="8" t="str">
        <x:v>Payout authorization, segregation of duties and fraud detection are not evidenced in the submissions.</x:v>
      </x:c>
      <x:c r="W10" s="8" t="str">
        <x:v>Not tolerable</x:v>
      </x:c>
      <x:c r="X10" s="8" t="str">
        <x:v>Not tolerable on the assumption that material verification and payout-approval weaknesses persist. Basic records alone do not support accepting avoidable material fraud while claims payments continue.</x:v>
      </x:c>
      <x:c r="Y10" s="8" t="str">
        <x:v>Controllability is substantial for the identified internal cause, subject to available resources and verified implementation.</x:v>
      </x:c>
      <x:c r="Z10" s="8" t="str">
        <x:v>Sustain accurate claims payments and customer information as part of meeting essential service and policyholder obligations. Business necessity does not itself make the exposure tolerable.</x:v>
      </x:c>
      <x:c r="AA10" s="8" t="str">
        <x:v>Consequences may extend beyond three months; reassess during weekly reviews. Initial likelihood horizon ends 2020-06-30; later information belongs to dated reviews.</x:v>
      </x:c>
      <x:c r="AB10" s="8" t="str">
        <x:v>Claims Manager</x:v>
      </x:c>
      <x:c r="AC10" s="8" t="str">
        <x:v>Cause, event and impact separated; wording aligned to pandemic onset. Source evidence and controls remain unverified. Proposed code F3-T-01 to F3-C-01 based on primary cause or index placement. Decisions applied: D02; D12–D14. See Decision Log for specific before/after values.</x:v>
      </x:c>
      <x:c r="AD10" s="8"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AE10" s="5" t="str">
        <x:v>Active</x:v>
      </x:c>
      <x:c r="AF10" s="5" t="str"/>
      <x:c r="AG10" s="39" t="d">
        <x:v>2020-04-01T00:00:00.000Z</x:v>
      </x:c>
      <x:c r="AH10" s="39" t="d">
        <x:v>2020-06-30T00:00:00.000Z</x:v>
      </x:c>
      <x:c r="AI10" s="5" t="str">
        <x:v>Proposed accountable role; individual to be designated</x:v>
      </x:c>
      <x:c r="AJ10" s="5" t="str">
        <x:v>D02; D12; D13; D14; D18</x:v>
      </x:c>
      <x:c r="AK10" s="5" t="str">
        <x:v>D18 project conclusion agreed; provisional assessment subject to stated controls, evidence and assumptions.</x:v>
      </x:c>
    </x:row>
    <x:row r="11" ht="180" customHeight="1">
      <x:c r="A11" s="5" t="str">
        <x:v>R-006</x:v>
      </x:c>
      <x:c r="B11" s="5" t="str">
        <x:v>F3-S-01</x:v>
      </x:c>
      <x:c r="C11" s="5" t="str">
        <x:v>Outsourced control activities fail</x:v>
      </x:c>
      <x:c r="D11" s="5" t="str">
        <x:v>Financial</x:v>
      </x:c>
      <x:c r="E11" s="5" t="str">
        <x:v>1.3</x:v>
      </x:c>
      <x:c r="F11" s="5" t="str">
        <x:v>S</x:v>
      </x:c>
      <x:c r="G11" s="5" t="str">
        <x:v>Provisional</x:v>
      </x:c>
      <x:c r="H11" s="5" t="str">
        <x:v>Revised draft for review</x:v>
      </x:c>
      <x:c r="I11" s="5" t="str">
        <x:v>Critical control work depends on providers whose own capacity may deteriorate.</x:v>
      </x:c>
      <x:c r="J11" s="5" t="str">
        <x:v>An outsourced control is not performed reliably or fails to detect a material issue.</x:v>
      </x:c>
      <x:c r="K11" s="5" t="str">
        <x:v>Errors, unauthorized transactions or security issues may persist, causing financial loss and reputational harm.</x:v>
      </x:c>
      <x:c r="L11" s="5" t="str">
        <x:v>Reliable third-party controls</x:v>
      </x:c>
      <x:c r="M11" s="5" t="str">
        <x:v>2020-04-01 to 2020-06-30</x:v>
      </x:c>
      <x:c r="N11" s="9" t="n">
        <x:v>3</x:v>
      </x:c>
      <x:c r="O11" s="9" t="n">
        <x:v>4</x:v>
      </x:c>
      <x:c r="P11" s="11" t="str">
        <x:f>IF(AE11="Consolidated","Consolidated",IF(OR(N11="",O11=""),"Not assessed",INDEX('Assessment Guide'!$B$5:$F$9,N11,O11)))</x:f>
        <x:v>High</x:v>
      </x:c>
      <x:c r="Q11" s="5" t="str">
        <x:v>Provider pressure makes failure plausible; outsourcing itself does not establish control failure.</x:v>
      </x:c>
      <x:c r="R11" s="5" t="str">
        <x:v>Major assumes failure of a critical control with material financial or information consequences.</x:v>
      </x:c>
      <x:c r="S11" s="5" t="str">
        <x:v>Case: record keeping and database administration. Assumption from Sam: an operational audit trail is maintained.</x:v>
      </x:c>
      <x:c r="T11" s="5" t="str">
        <x:v>Mixed evidence: case arrangements plus explicit team assumptions; see Evidence and experience.</x:v>
      </x:c>
      <x:c r="U11" s="5" t="str">
        <x:v>Records support detection and investigation. They do not demonstrate preventive approval, fraud detection or counterparty protection.</x:v>
      </x:c>
      <x:c r="V11" s="5" t="str">
        <x:v>Control responsibilities, supplier assurance and operating evidence need verification.</x:v>
      </x:c>
      <x:c r="W11" s="5" t="str">
        <x:v>Not tolerable</x:v>
      </x:c>
      <x:c r="X11" s="5" t="str">
        <x:v>Not tolerable on the assumption that critical outsourced controls lack effective oversight. Provider involvement does not remove ITrustU’s accountability for material failures.</x:v>
      </x:c>
      <x:c r="Y11" s="5" t="str">
        <x:v>Controllability is partial: internal preparation and decisions can reduce exposure, while external conditions may remain beyond our control.</x:v>
      </x:c>
      <x:c r="Z11" s="5" t="str">
        <x:v>Sustain reliable third-party controls as part of meeting essential service and policyholder obligations. Business necessity does not itself make the exposure tolerable.</x:v>
      </x:c>
      <x:c r="AA11" s="5" t="str">
        <x:v>Consequences may extend beyond three months; reassess during weekly reviews. Initial likelihood horizon ends 2020-06-30; later information belongs to dated reviews.</x:v>
      </x:c>
      <x:c r="AB11" s="5" t="str">
        <x:v>Finance Manager</x:v>
      </x:c>
      <x:c r="AC11" s="5" t="str">
        <x:v>Cause, event and impact separated; wording aligned to pandemic onset. Source evidence and controls remain unverified. Proposed scores 4/3 to 3/4; see assessment reasoning. Decisions applied: D11; D12–D14. See Decision Log for specific before/after values.</x:v>
      </x:c>
      <x:c r="AD11" s="5"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AE11" s="5" t="str">
        <x:v>Active</x:v>
      </x:c>
      <x:c r="AF11" s="5" t="str"/>
      <x:c r="AG11" s="39" t="d">
        <x:v>2020-04-01T00:00:00.000Z</x:v>
      </x:c>
      <x:c r="AH11" s="39" t="d">
        <x:v>2020-06-30T00:00:00.000Z</x:v>
      </x:c>
      <x:c r="AI11" s="5" t="str">
        <x:v>Proposed accountable role; individual to be designated</x:v>
      </x:c>
      <x:c r="AJ11" s="5" t="str">
        <x:v>D11; D12; D13; D14; D18</x:v>
      </x:c>
      <x:c r="AK11" s="5" t="str">
        <x:v>D18 project conclusion agreed; provisional assessment subject to stated controls, evidence and assumptions.</x:v>
      </x:c>
    </x:row>
    <x:row r="12" ht="180" customHeight="1">
      <x:c r="A12" s="8" t="str">
        <x:v>R-007</x:v>
      </x:c>
      <x:c r="B12" s="8" t="str">
        <x:v>F3-S-02</x:v>
      </x:c>
      <x:c r="C12" s="8" t="str">
        <x:v>Bank partners delay premium remittance</x:v>
      </x:c>
      <x:c r="D12" s="8" t="str">
        <x:v>Financial</x:v>
      </x:c>
      <x:c r="E12" s="8" t="str">
        <x:v>1.3</x:v>
      </x:c>
      <x:c r="F12" s="8" t="str">
        <x:v>S</x:v>
      </x:c>
      <x:c r="G12" s="8" t="str">
        <x:v>Provisional</x:v>
      </x:c>
      <x:c r="H12" s="8" t="str">
        <x:v>Revised draft for review</x:v>
      </x:c>
      <x:c r="I12" s="8" t="str">
        <x:v>Payment-processing disruption or counterparty difficulties interrupt remittance.</x:v>
      </x:c>
      <x:c r="J12" s="8" t="str">
        <x:v>Premiums collected through bank partners do not reach ITrustU when due.</x:v>
      </x:c>
      <x:c r="K12" s="8" t="str">
        <x:v>Cash inflows may fall short of planned claims and operating payments; reconciliation work and customer enquiries increase.</x:v>
      </x:c>
      <x:c r="L12" s="8" t="str">
        <x:v>Premium cash inflow</x:v>
      </x:c>
      <x:c r="M12" s="8" t="str">
        <x:v>2020-04-01 to 2020-06-30</x:v>
      </x:c>
      <x:c r="N12" s="9" t="n">
        <x:v>2</x:v>
      </x:c>
      <x:c r="O12" s="9" t="n">
        <x:v>4</x:v>
      </x:c>
      <x:c r="P12" s="10" t="str">
        <x:f>IF(AE12="Consolidated","Consolidated",IF(OR(N12="",O12=""),"Not assessed",INDEX('Assessment Guide'!$B$5:$F$9,N12,O12)))</x:f>
        <x:v>High</x:v>
      </x:c>
      <x:c r="Q12" s="8" t="str">
        <x:v>Disruption is conceivable but no bank-specific weakness establishes it as likely during three months.</x:v>
      </x:c>
      <x:c r="R12" s="8" t="str">
        <x:v>Major assumes a material or prolonged remittance interruption rather than a brief settlement delay.</x:v>
      </x:c>
      <x:c r="S12" s="8" t="str">
        <x:v>Case: record keeping and database administration. Assumption from Sam: an operational audit trail is maintained.</x:v>
      </x:c>
      <x:c r="T12" s="8" t="str">
        <x:v>Mixed evidence: case arrangements plus explicit team assumptions; see Evidence and experience.</x:v>
      </x:c>
      <x:c r="U12" s="8" t="str">
        <x:v>Records support detection and investigation. They do not demonstrate preventive approval, fraud detection or counterparty protection.</x:v>
      </x:c>
      <x:c r="V12" s="8" t="str">
        <x:v>Bank arrangements, reconciliations, concentration and liquidity buffers are unverified.</x:v>
      </x:c>
      <x:c r="W12" s="8" t="str">
        <x:v>Awaiting assessment</x:v>
      </x:c>
      <x:c r="X12" s="8" t="str">
        <x:v>Awaiting assessment: the case does not quantify the exposure and available financial capacity sufficiently to decide whether the remaining risk fits appetite. Bank arrangements, reconciliations, concentration and liquidity buffers are unverified. Continued operations require this assessment; a High or Extreme inherent rating alone is not a tolerability decision.</x:v>
      </x:c>
      <x:c r="Y12" s="8" t="str">
        <x:v>Controllability is partial: internal preparation and decisions can reduce exposure, while external conditions may remain beyond our control.</x:v>
      </x:c>
      <x:c r="Z12" s="8" t="str">
        <x:v>Sustain premium cash inflow as part of meeting essential service and policyholder obligations. Business necessity does not itself make the exposure tolerable.</x:v>
      </x:c>
      <x:c r="AA12" s="8" t="str">
        <x:v>Consequences may extend beyond three months; reassess during weekly reviews. Initial likelihood horizon ends 2020-06-30; later information belongs to dated reviews.</x:v>
      </x:c>
      <x:c r="AB12" s="8" t="str">
        <x:v>Finance Manager</x:v>
      </x:c>
      <x:c r="AC12" s="8" t="str">
        <x:v>Cause, event and impact separated; wording aligned to pandemic onset. Source evidence and controls remain unverified. Decisions applied: D11; D12–D14. See Decision Log for specific before/after values.</x:v>
      </x:c>
      <x:c r="AD12" s="8"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AE12" s="5" t="str">
        <x:v>Active</x:v>
      </x:c>
      <x:c r="AF12" s="5" t="str"/>
      <x:c r="AG12" s="39" t="d">
        <x:v>2020-04-01T00:00:00.000Z</x:v>
      </x:c>
      <x:c r="AH12" s="39" t="d">
        <x:v>2020-06-30T00:00:00.000Z</x:v>
      </x:c>
      <x:c r="AI12" s="5" t="str">
        <x:v>Proposed accountable role; individual to be designated</x:v>
      </x:c>
      <x:c r="AJ12" s="5" t="str">
        <x:v>D11; D12; D13; D14; D18</x:v>
      </x:c>
      <x:c r="AK12" s="5" t="str">
        <x:v>D18 agreed: decision remains unresolved pending material financial evidence; exposure is not accepted.</x:v>
      </x:c>
    </x:row>
    <x:row r="13" ht="180" customHeight="1">
      <x:c r="A13" s="5" t="str">
        <x:v>R-008</x:v>
      </x:c>
      <x:c r="B13" s="5" t="str">
        <x:v>F3-S-03</x:v>
      </x:c>
      <x:c r="C13" s="5" t="str">
        <x:v>Reinsurance recoveries are delayed or unpaid</x:v>
      </x:c>
      <x:c r="D13" s="5" t="str">
        <x:v>Financial</x:v>
      </x:c>
      <x:c r="E13" s="5" t="str">
        <x:v>1.3</x:v>
      </x:c>
      <x:c r="F13" s="5" t="str">
        <x:v>S</x:v>
      </x:c>
      <x:c r="G13" s="5" t="str">
        <x:v>Provisional</x:v>
      </x:c>
      <x:c r="H13" s="5" t="str">
        <x:v>Revised draft for review</x:v>
      </x:c>
      <x:c r="I13" s="5" t="str">
        <x:v>Reinsurer financial pressure, disputed coverage or processing disruption.</x:v>
      </x:c>
      <x:c r="J13" s="5" t="str">
        <x:v>Contractually expected reinsurance recoveries are not received when needed.</x:v>
      </x:c>
      <x:c r="K13" s="5" t="str">
        <x:v>ITrustU must fund claims for longer or absorb unrecovered amounts, potentially threatening financial viability.</x:v>
      </x:c>
      <x:c r="L13" s="5" t="str">
        <x:v>Claims funding and reinsurance counterparties</x:v>
      </x:c>
      <x:c r="M13" s="5" t="str">
        <x:v>2020-04-01 to 2020-06-30</x:v>
      </x:c>
      <x:c r="N13" s="9" t="n">
        <x:v>2</x:v>
      </x:c>
      <x:c r="O13" s="9" t="n">
        <x:v>4</x:v>
      </x:c>
      <x:c r="P13" s="11" t="str">
        <x:f>IF(AE13="Consolidated","Consolidated",IF(OR(N13="",O13=""),"Not assessed",INDEX('Assessment Guide'!$B$5:$F$9,N13,O13)))</x:f>
        <x:v>High</x:v>
      </x:c>
      <x:c r="Q13" s="5" t="str">
        <x:v>No counterparty-specific evidence establishes likely failure; exposure depends on actual contracts and recoveries due.</x:v>
      </x:c>
      <x:c r="R13" s="5" t="str">
        <x:v>Major: a material delayed or unpaid recovery requires significant funding adjustments and threatens timely claims settlement. Severe escalation requires recoveries large enough to threaten sustained claims-paying capacity or viability; amounts and arrangements are unknown.</x:v>
      </x:c>
      <x:c r="S13" s="5" t="str">
        <x:v>Assumption from Sam: financial modelling is in use for funds and expenditure. The case confirms financial activities, not this control.</x:v>
      </x:c>
      <x:c r="T13" s="5" t="str">
        <x:v>Mixed evidence: case arrangements plus explicit team assumptions; see Evidence and experience.</x:v>
      </x:c>
      <x:c r="U13" s="5" t="str">
        <x:v>Modelling can identify pressure but does not provide cash, prevent losses or prove scenario coverage. Effectiveness is unverified.</x:v>
      </x:c>
      <x:c r="V13" s="5" t="str">
        <x:v>Coverage, exclusions, counterparties, recoveries due and ability to bridge delays are unknown.</x:v>
      </x:c>
      <x:c r="W13" s="5" t="str">
        <x:v>Awaiting assessment</x:v>
      </x:c>
      <x:c r="X13" s="5" t="str">
        <x:v>Awaiting assessment: the case does not quantify the exposure and available financial capacity sufficiently to decide whether the remaining risk fits appetite. Coverage, exclusions, counterparties, recoveries due and ability to bridge delays are unknown. Continued operations require this assessment; a High or Extreme inherent rating alone is not a tolerability decision.</x:v>
      </x:c>
      <x:c r="Y13" s="5" t="str">
        <x:v>Controllability is partial: internal preparation and decisions can reduce exposure, while external conditions may remain beyond our control.</x:v>
      </x:c>
      <x:c r="Z13" s="5" t="str">
        <x:v>Sustain claims funding and reinsurance counterparties as part of meeting essential service and policyholder obligations. Business necessity does not itself make the exposure tolerable.</x:v>
      </x:c>
      <x:c r="AA13" s="5" t="str">
        <x:v>Consequences may extend beyond three months; reassess during weekly reviews. Initial likelihood horizon ends 2020-06-30; later information belongs to dated reviews.</x:v>
      </x:c>
      <x:c r="AB13" s="5" t="str">
        <x:v>Finance Manager</x:v>
      </x:c>
      <x:c r="AC13" s="5" t="str">
        <x:v>Cause, event and impact separated; wording aligned to pandemic onset. Source evidence and controls remain unverified. Decisions applied: D10; D12–D14. See Decision Log for specific before/after values.</x:v>
      </x:c>
      <x:c r="AD13" s="5"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13" s="5" t="str">
        <x:v>Active</x:v>
      </x:c>
      <x:c r="AF13" s="5" t="str"/>
      <x:c r="AG13" s="39" t="d">
        <x:v>2020-04-01T00:00:00.000Z</x:v>
      </x:c>
      <x:c r="AH13" s="39" t="d">
        <x:v>2020-06-30T00:00:00.000Z</x:v>
      </x:c>
      <x:c r="AI13" s="5" t="str">
        <x:v>Proposed accountable role; individual to be designated</x:v>
      </x:c>
      <x:c r="AJ13" s="5" t="str">
        <x:v>D10; D12; D13; D14; D18</x:v>
      </x:c>
      <x:c r="AK13" s="5" t="str">
        <x:v>D18 agreed: decision remains unresolved pending material financial evidence; exposure is not accepted.</x:v>
      </x:c>
    </x:row>
    <x:row r="14" ht="180" customHeight="1">
      <x:c r="A14" s="8" t="str">
        <x:v>R-009</x:v>
      </x:c>
      <x:c r="B14" s="8" t="str">
        <x:v>F3-E-01</x:v>
      </x:c>
      <x:c r="C14" s="8" t="str">
        <x:v>Bond issuers default on obligations</x:v>
      </x:c>
      <x:c r="D14" s="8" t="str">
        <x:v>Financial</x:v>
      </x:c>
      <x:c r="E14" s="8" t="str">
        <x:v>1.3</x:v>
      </x:c>
      <x:c r="F14" s="8" t="str">
        <x:v>E</x:v>
      </x:c>
      <x:c r="G14" s="8" t="str">
        <x:v>Provisional</x:v>
      </x:c>
      <x:c r="H14" s="8" t="str">
        <x:v>Revised draft for review</x:v>
      </x:c>
      <x:c r="I14" s="8" t="str">
        <x:v>Economic stress weakens issuers held in the investment portfolio.</x:v>
      </x:c>
      <x:c r="J14" s="8" t="str">
        <x:v>An issuer fails to pay interest or principal when due.</x:v>
      </x:c>
      <x:c r="K14" s="8" t="str">
        <x:v>Investment losses and reduced cash inflows weaken funds available for operations and policyholder obligations.</x:v>
      </x:c>
      <x:c r="L14" s="8" t="str">
        <x:v>Investment cash flows</x:v>
      </x:c>
      <x:c r="M14" s="8" t="str">
        <x:v>2020-04-01 to 2020-06-30</x:v>
      </x:c>
      <x:c r="N14" s="9" t="n">
        <x:v>2</x:v>
      </x:c>
      <x:c r="O14" s="9" t="n">
        <x:v>4</x:v>
      </x:c>
      <x:c r="P14" s="10" t="str">
        <x:f>IF(AE14="Consolidated","Consolidated",IF(OR(N14="",O14=""),"Not assessed",INDEX('Assessment Guide'!$B$5:$F$9,N14,O14)))</x:f>
        <x:v>High</x:v>
      </x:c>
      <x:c r="Q14" s="8" t="str">
        <x:v>A stressed economy raises concern, but portfolio quality and issuer exposure are unavailable.</x:v>
      </x:c>
      <x:c r="R14" s="8" t="str">
        <x:v>Major assumes material concentration or multiple defaults; a small diversified holding may have less impact.</x:v>
      </x:c>
      <x:c r="S14" s="8" t="str">
        <x:v>Assumption from Sam: financial modelling is in use for funds and expenditure. The case confirms financial activities, not this control.</x:v>
      </x:c>
      <x:c r="T14" s="8" t="str">
        <x:v>Mixed evidence: case arrangements plus explicit team assumptions; see Evidence and experience.</x:v>
      </x:c>
      <x:c r="U14" s="8" t="str">
        <x:v>Modelling can identify pressure but does not provide cash, prevent losses or prove scenario coverage. Effectiveness is unverified.</x:v>
      </x:c>
      <x:c r="V14" s="8" t="str">
        <x:v>Portfolio holdings, credit quality, concentration and credit monitoring need confirmation.</x:v>
      </x:c>
      <x:c r="W14" s="8" t="str">
        <x:v>Awaiting assessment</x:v>
      </x:c>
      <x:c r="X14" s="8" t="str">
        <x:v>Awaiting assessment: the case does not quantify the exposure and available financial capacity sufficiently to decide whether the remaining risk fits appetite. Portfolio holdings, credit quality, concentration and credit monitoring need confirmation. Continued operations require this assessment; a High or Extreme inherent rating alone is not a tolerability decision.</x:v>
      </x:c>
      <x:c r="Y14" s="8" t="str">
        <x:v>Controllability is partial: internal preparation and decisions can reduce exposure, while external conditions may remain beyond our control.</x:v>
      </x:c>
      <x:c r="Z14" s="8" t="str">
        <x:v>Sustain investment cash flows as part of meeting essential service and policyholder obligations. Business necessity does not itself make the exposure tolerable.</x:v>
      </x:c>
      <x:c r="AA14" s="8" t="str">
        <x:v>Consequences may extend beyond three months; reassess during weekly reviews. Initial likelihood horizon ends 2020-06-30; later information belongs to dated reviews.</x:v>
      </x:c>
      <x:c r="AB14" s="8" t="str">
        <x:v>Finance Manager</x:v>
      </x:c>
      <x:c r="AC14" s="8" t="str">
        <x:v>Cause, event and impact separated; wording aligned to pandemic onset. Source evidence and controls remain unverified. Decisions applied: D11; D12–D14. See Decision Log for specific before/after values.</x:v>
      </x:c>
      <x:c r="AD14" s="8"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14" s="5" t="str">
        <x:v>Active</x:v>
      </x:c>
      <x:c r="AF14" s="5" t="str"/>
      <x:c r="AG14" s="39" t="d">
        <x:v>2020-04-01T00:00:00.000Z</x:v>
      </x:c>
      <x:c r="AH14" s="39" t="d">
        <x:v>2020-06-30T00:00:00.000Z</x:v>
      </x:c>
      <x:c r="AI14" s="5" t="str">
        <x:v>Proposed accountable role; individual to be designated</x:v>
      </x:c>
      <x:c r="AJ14" s="5" t="str">
        <x:v>D11; D12; D13; D14; D18</x:v>
      </x:c>
      <x:c r="AK14" s="5" t="str">
        <x:v>D18 agreed: decision remains unresolved pending material financial evidence; exposure is not accepted.</x:v>
      </x:c>
    </x:row>
    <x:row r="15" ht="180" customHeight="1">
      <x:c r="A15" s="5" t="str">
        <x:v>R-010</x:v>
      </x:c>
      <x:c r="B15" s="5" t="str">
        <x:v>F4-E-01</x:v>
      </x:c>
      <x:c r="C15" s="5" t="str">
        <x:v>Weather-related claims pressure claims-paying capacity</x:v>
      </x:c>
      <x:c r="D15" s="5" t="str">
        <x:v>Financial</x:v>
      </x:c>
      <x:c r="E15" s="5" t="str">
        <x:v>1.4</x:v>
      </x:c>
      <x:c r="F15" s="5" t="str">
        <x:v>E</x:v>
      </x:c>
      <x:c r="G15" s="5" t="str">
        <x:v>Provisional</x:v>
      </x:c>
      <x:c r="H15" s="5" t="str">
        <x:v>Revised draft for review</x:v>
      </x:c>
      <x:c r="I15" s="5" t="str">
        <x:v>A major weather event affects many insured customers during the pandemic.</x:v>
      </x:c>
      <x:c r="J15" s="5" t="str">
        <x:v>A major weather event generates concentrated claims that place substantial pressure on claims-paying capacity.</x:v>
      </x:c>
      <x:c r="K15" s="5" t="str">
        <x:v>A sudden demand for claims payments may require significant funding adjustments and delay settlement, harming customers and confidence. Financial exhaustion is not assumed in the base scenario.</x:v>
      </x:c>
      <x:c r="L15" s="5" t="str">
        <x:v>Claims-paying capacity</x:v>
      </x:c>
      <x:c r="M15" s="5" t="str">
        <x:v>2020-04-01 to 2020-06-30</x:v>
      </x:c>
      <x:c r="N15" s="9" t="n">
        <x:v>2</x:v>
      </x:c>
      <x:c r="O15" s="9" t="n">
        <x:v>4</x:v>
      </x:c>
      <x:c r="P15" s="11" t="str">
        <x:f>IF(AE15="Consolidated","Consolidated",IF(OR(N15="",O15=""),"Not assessed",INDEX('Assessment Guide'!$B$5:$F$9,N15,O15)))</x:f>
        <x:v>High</x:v>
      </x:c>
      <x:c r="Q15" s="5" t="str">
        <x:v>A catastrophe is possible but not established as likely in the initial three-month period.</x:v>
      </x:c>
      <x:c r="R15" s="5" t="str">
        <x:v>Major: Ontario concentration supports a credible substantial claims shock. Severe escalation would require losses overwhelming available resources and protection, which the case does not quantify.</x:v>
      </x:c>
      <x:c r="S15" s="5" t="str">
        <x:v>Assumption from Sam: financial modelling is in use for funds and expenditure. The case confirms financial activities, not this control.</x:v>
      </x:c>
      <x:c r="T15" s="5" t="str">
        <x:v>Mixed evidence: case arrangements plus explicit team assumptions; see Evidence and experience.</x:v>
      </x:c>
      <x:c r="U15" s="5" t="str">
        <x:v>Modelling can identify pressure but does not provide cash, prevent losses or prove scenario coverage. Effectiveness is unverified.</x:v>
      </x:c>
      <x:c r="V15" s="5" t="str">
        <x:v>Catastrophe exposure, reserves, liquid assets and reinsurance protection are unverified.</x:v>
      </x:c>
      <x:c r="W15" s="5" t="str">
        <x:v>Awaiting assessment</x:v>
      </x:c>
      <x:c r="X15" s="5" t="str">
        <x:v>Awaiting assessment: the case does not quantify the exposure and available financial capacity sufficiently to decide whether the remaining risk fits appetite. Catastrophe exposure, reserves, liquid assets and reinsurance protection are unverified. Continued operations require this assessment; a High or Extreme inherent rating alone is not a tolerability decision.</x:v>
      </x:c>
      <x:c r="Y15" s="5" t="str">
        <x:v>Controllability is partial: internal preparation and decisions can reduce exposure, while external conditions may remain beyond our control.</x:v>
      </x:c>
      <x:c r="Z15" s="5" t="str">
        <x:v>Sustain claims-paying capacity as part of meeting essential service and policyholder obligations. Business necessity does not itself make the exposure tolerable.</x:v>
      </x:c>
      <x:c r="AA15" s="5" t="str">
        <x:v>Retain catastrophe exposure beyond the initial horizon; re-evaluate likelihood for each subsequent period. Initial likelihood horizon ends 2020-06-30; later information belongs to dated reviews.</x:v>
      </x:c>
      <x:c r="AB15" s="5" t="str">
        <x:v>Finance Manager</x:v>
      </x:c>
      <x:c r="AC15" s="5" t="str">
        <x:v>Cause, event and impact separated; wording aligned to pandemic onset. Source evidence and controls remain unverified. Decisions applied: D10; D12–D14. See Decision Log for specific before/after values.</x:v>
      </x:c>
      <x:c r="AD15" s="5"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15" s="5" t="str">
        <x:v>Active</x:v>
      </x:c>
      <x:c r="AF15" s="5" t="str"/>
      <x:c r="AG15" s="39" t="d">
        <x:v>2020-04-01T00:00:00.000Z</x:v>
      </x:c>
      <x:c r="AH15" s="39" t="d">
        <x:v>2020-06-30T00:00:00.000Z</x:v>
      </x:c>
      <x:c r="AI15" s="5" t="str">
        <x:v>Proposed accountable role; individual to be designated</x:v>
      </x:c>
      <x:c r="AJ15" s="5" t="str">
        <x:v>D10; D12; D13; D14; D18</x:v>
      </x:c>
      <x:c r="AK15" s="5" t="str">
        <x:v>D18 agreed: decision remains unresolved pending material financial evidence; exposure is not accepted.</x:v>
      </x:c>
    </x:row>
    <x:row r="16" ht="180" customHeight="1">
      <x:c r="A16" s="8" t="str">
        <x:v>R-011</x:v>
      </x:c>
      <x:c r="B16" s="8" t="str">
        <x:v>F4-E-02</x:v>
      </x:c>
      <x:c r="C16" s="8" t="str">
        <x:v>Concurrent covered claims strain payment capacity</x:v>
      </x:c>
      <x:c r="D16" s="8" t="str">
        <x:v>Financial</x:v>
      </x:c>
      <x:c r="E16" s="8" t="str">
        <x:v>1.4</x:v>
      </x:c>
      <x:c r="F16" s="8" t="str">
        <x:v>E</x:v>
      </x:c>
      <x:c r="G16" s="8" t="str">
        <x:v>Provisional</x:v>
      </x:c>
      <x:c r="H16" s="8" t="str">
        <x:v>Revised draft for review</x:v>
      </x:c>
      <x:c r="I16" s="8" t="str">
        <x:v>Pandemic disruption increases covered claims across relevant product lines within a short period.</x:v>
      </x:c>
      <x:c r="J16" s="8" t="str">
        <x:v>Concurrent payable claims exceed planned payment and handling capacity.</x:v>
      </x:c>
      <x:c r="K16" s="8" t="str">
        <x:v>Liquidity pressure and claims delays may threaten policyholder obligations and customer trust.</x:v>
      </x:c>
      <x:c r="L16" s="8" t="str">
        <x:v>Claims funding and staffing</x:v>
      </x:c>
      <x:c r="M16" s="8" t="str">
        <x:v>2020-04-01 to 2020-06-30</x:v>
      </x:c>
      <x:c r="N16" s="9" t="n">
        <x:v>4</x:v>
      </x:c>
      <x:c r="O16" s="9" t="n">
        <x:v>4</x:v>
      </x:c>
      <x:c r="P16" s="10" t="str">
        <x:f>IF(AE16="Consolidated","Consolidated",IF(OR(N16="",O16=""),"Not assessed",INDEX('Assessment Guide'!$B$5:$F$9,N16,O16)))</x:f>
        <x:v>Extreme</x:v>
      </x:c>
      <x:c r="Q16" s="8" t="str">
        <x:v>Likely provisional judgment: disruption may concentrate covered claims, particularly relevant cancellations. Product terms, exclusions and submitted versus payable amounts must be distinguished. No separate medical product or automatic pandemic cover is assumed.</x:v>
      </x:c>
      <x:c r="R16" s="8" t="str">
        <x:v>Major assumes a substantial covered-claims concentration. Enquiries and exclusions do not automatically become payable claims.</x:v>
      </x:c>
      <x:c r="S16" s="8" t="str">
        <x:v>Assumption from Sam: financial modelling is in use for funds and expenditure. The case confirms financial activities, not this control.</x:v>
      </x:c>
      <x:c r="T16" s="8" t="str">
        <x:v>Mixed evidence: case arrangements plus explicit team assumptions; see Evidence and experience.</x:v>
      </x:c>
      <x:c r="U16" s="8" t="str">
        <x:v>Modelling can identify pressure but does not provide cash, prevent losses or prove scenario coverage. Effectiveness is unverified.</x:v>
      </x:c>
      <x:c r="V16" s="8" t="str">
        <x:v>Product coverage, claim volumes, forecasts and reserve adequacy need confirmation.</x:v>
      </x:c>
      <x:c r="W16" s="8" t="str">
        <x:v>Awaiting assessment</x:v>
      </x:c>
      <x:c r="X16" s="8" t="str">
        <x:v>Awaiting assessment: the case does not quantify the exposure and available financial capacity sufficiently to decide whether the remaining risk fits appetite. Product coverage, claim volumes, forecasts and reserve adequacy need confirmation. Continued operations require this assessment; a High or Extreme inherent rating alone is not a tolerability decision.</x:v>
      </x:c>
      <x:c r="Y16" s="8" t="str">
        <x:v>Controllability is partial: internal preparation and decisions can reduce exposure, while external conditions may remain beyond our control.</x:v>
      </x:c>
      <x:c r="Z16" s="8" t="str">
        <x:v>Sustain claims funding and staffing as part of meeting essential service and policyholder obligations. Business necessity does not itself make the exposure tolerable.</x:v>
      </x:c>
      <x:c r="AA16" s="8" t="str">
        <x:v>Consequences may extend beyond three months; reassess during weekly reviews. Initial likelihood horizon ends 2020-06-30; later information belongs to dated reviews.</x:v>
      </x:c>
      <x:c r="AB16" s="8" t="str">
        <x:v>Finance Manager</x:v>
      </x:c>
      <x:c r="AC16" s="8" t="str">
        <x:v>Cause, event and impact separated; wording aligned to pandemic onset. Source evidence and controls remain unverified. Decisions applied: D08; D12–D14. See Decision Log for specific before/after values.</x:v>
      </x:c>
      <x:c r="AD16" s="8"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16" s="5" t="str">
        <x:v>Active</x:v>
      </x:c>
      <x:c r="AF16" s="5" t="str"/>
      <x:c r="AG16" s="39" t="d">
        <x:v>2020-04-01T00:00:00.000Z</x:v>
      </x:c>
      <x:c r="AH16" s="39" t="d">
        <x:v>2020-06-30T00:00:00.000Z</x:v>
      </x:c>
      <x:c r="AI16" s="5" t="str">
        <x:v>Proposed accountable role; individual to be designated</x:v>
      </x:c>
      <x:c r="AJ16" s="5" t="str">
        <x:v>D08; D12; D13; D14; D18</x:v>
      </x:c>
      <x:c r="AK16" s="5" t="str">
        <x:v>D18 agreed: decision remains unresolved pending material financial evidence; exposure is not accepted.</x:v>
      </x:c>
    </x:row>
    <x:row r="17" ht="180" customHeight="1">
      <x:c r="A17" s="5" t="str">
        <x:v>R-012</x:v>
      </x:c>
      <x:c r="B17" s="5" t="str">
        <x:v>F4-E-03</x:v>
      </x:c>
      <x:c r="C17" s="5" t="str">
        <x:v>Falling yields weaken funding of long-term obligations</x:v>
      </x:c>
      <x:c r="D17" s="5" t="str">
        <x:v>Financial</x:v>
      </x:c>
      <x:c r="E17" s="5" t="str">
        <x:v>1.4</x:v>
      </x:c>
      <x:c r="F17" s="5" t="str">
        <x:v>E</x:v>
      </x:c>
      <x:c r="G17" s="5" t="str">
        <x:v>Provisional</x:v>
      </x:c>
      <x:c r="H17" s="5" t="str">
        <x:v>Revised draft for review</x:v>
      </x:c>
      <x:c r="I17" s="5" t="str">
        <x:v>Lower market yields reduce reinvestment returns and may increase the value of long-duration liabilities.</x:v>
      </x:c>
      <x:c r="J17" s="5" t="str">
        <x:v>Income and assets available to support life and pension obligations become less adequate relative to those obligations.</x:v>
      </x:c>
      <x:c r="K17" s="5" t="str">
        <x:v>Financial margins and funding capacity may deteriorate, with effects extending well beyond three months.</x:v>
      </x:c>
      <x:c r="L17" s="5" t="str">
        <x:v>Long-term policyholder funding</x:v>
      </x:c>
      <x:c r="M17" s="5" t="str">
        <x:v>2020-04-01 to 2020-06-30</x:v>
      </x:c>
      <x:c r="N17" s="9" t="n">
        <x:v>4</x:v>
      </x:c>
      <x:c r="O17" s="9" t="n">
        <x:v>4</x:v>
      </x:c>
      <x:c r="P17" s="11" t="str">
        <x:f>IF(AE17="Consolidated","Consolidated",IF(OR(N17="",O17=""),"Not assessed",INDEX('Assessment Guide'!$B$5:$F$9,N17,O17)))</x:f>
        <x:v>Extreme</x:v>
      </x:c>
      <x:c r="Q17" s="5" t="str">
        <x:v>A pandemic-related rate decline is plausible and likely, but the exact scenario date and portfolio sensitivity remain unspecified.</x:v>
      </x:c>
      <x:c r="R17" s="5" t="str">
        <x:v>Major depends on duration mismatch and exposure size; the effect is not an automatic immediate cash shortfall.</x:v>
      </x:c>
      <x:c r="S17" s="5" t="str">
        <x:v>Assumption from Sam: financial modelling is in use for funds and expenditure. The case confirms financial activities, not this control.</x:v>
      </x:c>
      <x:c r="T17" s="5" t="str">
        <x:v>Mixed evidence: case arrangements plus explicit team assumptions; see Evidence and experience.</x:v>
      </x:c>
      <x:c r="U17" s="5" t="str">
        <x:v>Modelling can identify pressure but does not provide cash, prevent losses or prove scenario coverage. Effectiveness is unverified.</x:v>
      </x:c>
      <x:c r="V17" s="5" t="str">
        <x:v>Asset-liability modelling, duration sensitivity and stress scenarios need verification.</x:v>
      </x:c>
      <x:c r="W17" s="5" t="str">
        <x:v>Awaiting assessment</x:v>
      </x:c>
      <x:c r="X17" s="5" t="str">
        <x:v>Awaiting assessment: the case does not quantify the exposure and available financial capacity sufficiently to decide whether the remaining risk fits appetite. Asset-liability modelling, duration sensitivity and stress scenarios need verification. Continued operations require this assessment; a High or Extreme inherent rating alone is not a tolerability decision.</x:v>
      </x:c>
      <x:c r="Y17" s="5" t="str">
        <x:v>Controllability is partial: internal preparation and decisions can reduce exposure, while external conditions may remain beyond our control.</x:v>
      </x:c>
      <x:c r="Z17" s="5" t="str">
        <x:v>Sustain long-term policyholder funding as part of meeting essential service and policyholder obligations. Business necessity does not itself make the exposure tolerable.</x:v>
      </x:c>
      <x:c r="AA17" s="5" t="str">
        <x:v>Long-duration funding effects may build beyond three months. Review longer-term sensitivity separately; do not interpret the three-month likelihood as lifetime exposure. Initial likelihood horizon ends 2020-06-30; later information belongs to dated reviews.</x:v>
      </x:c>
      <x:c r="AB17" s="5" t="str">
        <x:v>Finance Manager</x:v>
      </x:c>
      <x:c r="AC17" s="5" t="str">
        <x:v>Cause, event and impact separated; wording aligned to pandemic onset. Source evidence and controls remain unverified. Proposed scores 5/3 to 4/4; see assessment reasoning. Decisions applied: D11; D12–D14. See Decision Log for specific before/after values.</x:v>
      </x:c>
      <x:c r="AD17" s="5"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17" s="5" t="str">
        <x:v>Active</x:v>
      </x:c>
      <x:c r="AF17" s="5" t="str"/>
      <x:c r="AG17" s="39" t="d">
        <x:v>2020-04-01T00:00:00.000Z</x:v>
      </x:c>
      <x:c r="AH17" s="39" t="d">
        <x:v>2020-06-30T00:00:00.000Z</x:v>
      </x:c>
      <x:c r="AI17" s="5" t="str">
        <x:v>Proposed accountable role; individual to be designated</x:v>
      </x:c>
      <x:c r="AJ17" s="5" t="str">
        <x:v>D11; D12; D13; D14; D18</x:v>
      </x:c>
      <x:c r="AK17" s="5" t="str">
        <x:v>D18 agreed: decision remains unresolved pending material financial evidence; exposure is not accepted.</x:v>
      </x:c>
    </x:row>
    <x:row r="18" ht="180" customHeight="1">
      <x:c r="A18" s="8" t="str">
        <x:v>R-014</x:v>
      </x:c>
      <x:c r="B18" s="8" t="str">
        <x:v>I1-G-01</x:v>
      </x:c>
      <x:c r="C18" s="8" t="str">
        <x:v>The remote-work transition interrupts essential services</x:v>
      </x:c>
      <x:c r="D18" s="8" t="str">
        <x:v>Infrastructure</x:v>
      </x:c>
      <x:c r="E18" s="8" t="str">
        <x:v>2.1</x:v>
      </x:c>
      <x:c r="F18" s="8" t="str">
        <x:v>G</x:v>
      </x:c>
      <x:c r="G18" s="8" t="str">
        <x:v>Approved</x:v>
      </x:c>
      <x:c r="H18" s="8" t="str">
        <x:v>Revised draft for review</x:v>
      </x:c>
      <x:c r="I18" s="8" t="str">
        <x:v>Remote-work responsibilities, procedures and support are insufficiently prepared.</x:v>
      </x:c>
      <x:c r="J18" s="8" t="str">
        <x:v>Employees cannot maintain essential workflows during the transition.</x:v>
      </x:c>
      <x:c r="K18" s="8" t="str">
        <x:v>Claims, premium collection and support may be delayed, with insecure workarounds and customer dissatisfaction.</x:v>
      </x:c>
      <x:c r="L18" s="8" t="str">
        <x:v>People, technology and continuity</x:v>
      </x:c>
      <x:c r="M18" s="8" t="str">
        <x:v>2020-04-01 to 2020-06-30</x:v>
      </x:c>
      <x:c r="N18" s="9" t="n">
        <x:v>4</x:v>
      </x:c>
      <x:c r="O18" s="9" t="n">
        <x:v>4</x:v>
      </x:c>
      <x:c r="P18" s="10" t="str">
        <x:f>IF(AE18="Consolidated","Consolidated",IF(OR(N18="",O18=""),"Not assessed",INDEX('Assessment Guide'!$B$5:$F$9,N18,O18)))</x:f>
        <x:v>Extreme</x:v>
      </x:c>
      <x:c r="Q18" s="8" t="str">
        <x:v>An abrupt transition with limited preparation makes disruption likely; absence of a plan is not itself the scored event.</x:v>
      </x:c>
      <x:c r="R18" s="8" t="str">
        <x:v>Major assumes disruption across essential workflows, rather than routine adaptation difficulties.</x:v>
      </x:c>
      <x:c r="S18" s="8" t="str">
        <x:v>No staff-continuity or wellbeing control is specified in the case. Assessment assumption: Sam’s reported preparation gaps apply at the assessment date.</x:v>
      </x:c>
      <x:c r="T18" s="8" t="str">
        <x:v>Mixed evidence: case arrangements plus explicit team assumptions; see Evidence and experience.</x:v>
      </x:c>
      <x:c r="U18" s="8" t="str">
        <x:v>Existing staffing is capacity, not a tested continuity control. Backup coverage and support effectiveness remain unverified.</x:v>
      </x:c>
      <x:c r="V18" s="8" t="str">
        <x:v>Approved remote procedures, training, handover arrangements and implementation evidence are missing.</x:v>
      </x:c>
      <x:c r="W18" s="8" t="str">
        <x:v>Not tolerable</x:v>
      </x:c>
      <x:c r="X18" s="8" t="str">
        <x:v>Not tolerable on the assumed lack of workable remote procedures and readiness. Essential workflows must continue, but the current gaps threaten that objective.</x:v>
      </x:c>
      <x:c r="Y18" s="8" t="str">
        <x:v>Controllability is substantial for the identified internal cause, subject to available resources and verified implementation.</x:v>
      </x:c>
      <x:c r="Z18" s="8" t="str">
        <x:v>Sustain people, technology and continuity as part of meeting essential service and policyholder obligations. Business necessity does not itself make the exposure tolerable.</x:v>
      </x:c>
      <x:c r="AA18" s="8" t="str">
        <x:v>Consequences may extend beyond three months; reassess during weekly reviews. Initial likelihood horizon ends 2020-06-30; later information belongs to dated reviews.</x:v>
      </x:c>
      <x:c r="AB18" s="8" t="str">
        <x:v>Designated Executive Director</x:v>
      </x:c>
      <x:c r="AC18" s="8" t="str">
        <x:v>Cause, event and impact separated; wording aligned to pandemic onset. Source evidence and controls remain unverified. Proposed code I1-P-01 to I1-G-01 based on primary cause or index placement. Proposed scores 5/4 to 4/4; see assessment reasoning. D01: Chris approved the Governance and Processes classification on 2026-10-18 (project review). Scores and other assessments remain provisional. Decisions applied: D01; D12–D14. See Decision Log for specific before/after values.</x:v>
      </x:c>
      <x:c r="AD18" s="8"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AE18" s="5" t="str">
        <x:v>Active</x:v>
      </x:c>
      <x:c r="AF18" s="5" t="str"/>
      <x:c r="AG18" s="39" t="d">
        <x:v>2020-04-01T00:00:00.000Z</x:v>
      </x:c>
      <x:c r="AH18" s="39" t="d">
        <x:v>2020-06-30T00:00:00.000Z</x:v>
      </x:c>
      <x:c r="AI18" s="5" t="str">
        <x:v>Proposed accountable role; individual to be designated</x:v>
      </x:c>
      <x:c r="AJ18" s="5" t="str">
        <x:v>D01; D12; D13; D14; D18</x:v>
      </x:c>
      <x:c r="AK18" s="5" t="str">
        <x:v>D18 project conclusion agreed; provisional assessment subject to stated controls, evidence and assumptions.</x:v>
      </x:c>
    </x:row>
    <x:row r="19" ht="180" customHeight="1">
      <x:c r="A19" s="5" t="str">
        <x:v>R-015</x:v>
      </x:c>
      <x:c r="B19" s="5" t="str">
        <x:v>I1-P-02</x:v>
      </x:c>
      <x:c r="C19" s="5" t="str">
        <x:v>Illness and isolation reduce essential staffing</x:v>
      </x:c>
      <x:c r="D19" s="5" t="str">
        <x:v>Infrastructure</x:v>
      </x:c>
      <x:c r="E19" s="5" t="str">
        <x:v>2.1</x:v>
      </x:c>
      <x:c r="F19" s="5" t="str">
        <x:v>P</x:v>
      </x:c>
      <x:c r="G19" s="5" t="str">
        <x:v>Provisional</x:v>
      </x:c>
      <x:c r="H19" s="5" t="str">
        <x:v>Revised draft for review</x:v>
      </x:c>
      <x:c r="I19" s="5" t="str">
        <x:v>Pandemic illness, household disruption and isolation affect a small workforce.</x:v>
      </x:c>
      <x:c r="J19" s="5" t="str">
        <x:v>Available staff fall below the capacity needed for essential services.</x:v>
      </x:c>
      <x:c r="K19" s="5" t="str">
        <x:v>Workloads and delays increase, potentially interrupting claims processing and customer support.</x:v>
      </x:c>
      <x:c r="L19" s="5" t="str">
        <x:v>Essential staffing</x:v>
      </x:c>
      <x:c r="M19" s="5" t="str">
        <x:v>2020-04-01 to 2020-06-30</x:v>
      </x:c>
      <x:c r="N19" s="9" t="n">
        <x:v>4</x:v>
      </x:c>
      <x:c r="O19" s="9" t="n">
        <x:v>3</x:v>
      </x:c>
      <x:c r="P19" s="11" t="str">
        <x:f>IF(AE19="Consolidated","Consolidated",IF(OR(N19="",O19=""),"Not assessed",INDEX('Assessment Guide'!$B$5:$F$9,N19,O19)))</x:f>
        <x:v>High</x:v>
      </x:c>
      <x:c r="Q19" s="5" t="str">
        <x:v>Absence during a pandemic is likely, but the number and concentration of affected employees are uncertain.</x:v>
      </x:c>
      <x:c r="R19" s="5" t="str">
        <x:v>Moderate assumes cross-team cover preserves obligations; simultaneous essential-role losses could be Major.</x:v>
      </x:c>
      <x:c r="S19" s="5" t="str">
        <x:v>No staff-continuity or wellbeing control is specified in the case. Assessment assumption: Sam’s reported preparation gaps apply at the assessment date.</x:v>
      </x:c>
      <x:c r="T19" s="5" t="str">
        <x:v>Mixed evidence: case arrangements plus explicit team assumptions; see Evidence and experience.</x:v>
      </x:c>
      <x:c r="U19" s="5" t="str">
        <x:v>Existing staffing is capacity, not a tested continuity control. Backup coverage and support effectiveness remain unverified.</x:v>
      </x:c>
      <x:c r="V19" s="5" t="str">
        <x:v>Absence forecasts, backup coverage and minimum staffing requirements are not evidenced.</x:v>
      </x:c>
      <x:c r="W19" s="5" t="str">
        <x:v>Not tolerable</x:v>
      </x:c>
      <x:c r="X19" s="5" t="str">
        <x:v>Not tolerable provisionally: the assessed event leaves essential work without adequate staffing or specialist coverage. On the explicit assumption that continuity arrangements are inadequate, this exceeds our low tolerance for essential-role gaps. Confirm absence exposure, minimum coverage, trained backups and alternative support; routine absence with adequate cover is not the intolerable event.</x:v>
      </x:c>
      <x:c r="Y19" s="5" t="str">
        <x:v>Controllability is substantial for the identified internal cause, subject to available resources and verified implementation.</x:v>
      </x:c>
      <x:c r="Z19" s="5" t="str">
        <x:v>Sustain essential staffing as part of meeting essential service and policyholder obligations. Business necessity does not itself make the exposure tolerable.</x:v>
      </x:c>
      <x:c r="AA19" s="5" t="str">
        <x:v>Consequences may extend beyond three months; reassess during weekly reviews. Initial likelihood horizon ends 2020-06-30; later information belongs to dated reviews.</x:v>
      </x:c>
      <x:c r="AB19" s="5" t="str">
        <x:v>Designated HR lead</x:v>
      </x:c>
      <x:c r="AC19" s="5" t="str">
        <x:v>Cause, event and impact separated; wording aligned to pandemic onset. Source evidence and controls remain unverified. Decisions applied: D11; D12–D14. See Decision Log for specific before/after values.</x:v>
      </x:c>
      <x:c r="AD19" s="5"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AE19" s="5" t="str">
        <x:v>Active</x:v>
      </x:c>
      <x:c r="AF19" s="5" t="str"/>
      <x:c r="AG19" s="39" t="d">
        <x:v>2020-04-01T00:00:00.000Z</x:v>
      </x:c>
      <x:c r="AH19" s="39" t="d">
        <x:v>2020-06-30T00:00:00.000Z</x:v>
      </x:c>
      <x:c r="AI19" s="5" t="str">
        <x:v>Proposed accountable role; individual to be designated</x:v>
      </x:c>
      <x:c r="AJ19" s="5" t="str">
        <x:v>D11; D12; D13; D14; D18</x:v>
      </x:c>
      <x:c r="AK19" s="5" t="str">
        <x:v>D18 project conclusion agreed; provisional assessment subject to stated controls, evidence and assumptions.</x:v>
      </x:c>
    </x:row>
    <x:row r="20" ht="180" customHeight="1">
      <x:c r="A20" s="8" t="str">
        <x:v>R-016</x:v>
      </x:c>
      <x:c r="B20" s="8" t="str">
        <x:v>I1-P-03</x:v>
      </x:c>
      <x:c r="C20" s="8" t="str">
        <x:v>A specialist absence leaves an essential role unfilled</x:v>
      </x:c>
      <x:c r="D20" s="8" t="str">
        <x:v>Infrastructure</x:v>
      </x:c>
      <x:c r="E20" s="8" t="str">
        <x:v>2.1</x:v>
      </x:c>
      <x:c r="F20" s="8" t="str">
        <x:v>P</x:v>
      </x:c>
      <x:c r="G20" s="8" t="str">
        <x:v>Provisional</x:v>
      </x:c>
      <x:c r="H20" s="8" t="str">
        <x:v>Revised draft for review</x:v>
      </x:c>
      <x:c r="I20" s="8" t="str">
        <x:v>Specialist knowledge is concentrated and replacements take time to recruit or train.</x:v>
      </x:c>
      <x:c r="J20" s="8" t="str">
        <x:v>An essential specialist role cannot be covered when its holder becomes unavailable.</x:v>
      </x:c>
      <x:c r="K20" s="8" t="str">
        <x:v>Technical or claims work may stop or be materially delayed until capability is restored.</x:v>
      </x:c>
      <x:c r="L20" s="8" t="str">
        <x:v>Specialist knowledge and continuity</x:v>
      </x:c>
      <x:c r="M20" s="8" t="str">
        <x:v>2020-04-01 to 2020-06-30</x:v>
      </x:c>
      <x:c r="N20" s="9" t="n">
        <x:v>2</x:v>
      </x:c>
      <x:c r="O20" s="9" t="n">
        <x:v>4</x:v>
      </x:c>
      <x:c r="P20" s="10" t="str">
        <x:f>IF(AE20="Consolidated","Consolidated",IF(OR(N20="",O20=""),"Not assessed",INDEX('Assessment Guide'!$B$5:$F$9,N20,O20)))</x:f>
        <x:v>High</x:v>
      </x:c>
      <x:c r="Q20" s="8" t="str">
        <x:v>A specific unfillable specialist absence is less likely than general workforce absence; role coverage must be checked.</x:v>
      </x:c>
      <x:c r="R20" s="8" t="str">
        <x:v>Major assumes an essential capability with no workable substitute.</x:v>
      </x:c>
      <x:c r="S20" s="8" t="str">
        <x:v>No staff-continuity or wellbeing control is specified in the case. Assessment assumption: Sam’s reported preparation gaps apply at the assessment date.</x:v>
      </x:c>
      <x:c r="T20" s="8" t="str">
        <x:v>Mixed evidence: case arrangements plus explicit team assumptions; see Evidence and experience.</x:v>
      </x:c>
      <x:c r="U20" s="8" t="str">
        <x:v>Existing staffing is capacity, not a tested continuity control. Backup coverage and support effectiveness remain unverified.</x:v>
      </x:c>
      <x:c r="V20" s="8" t="str">
        <x:v>Role inventories, trained backups and replacement lead times need verification.</x:v>
      </x:c>
      <x:c r="W20" s="8" t="str">
        <x:v>Not tolerable</x:v>
      </x:c>
      <x:c r="X20" s="8" t="str">
        <x:v>Not tolerable provisionally: the assessed event leaves essential work without adequate staffing or specialist coverage. On the explicit assumption that continuity arrangements are inadequate, this exceeds our low tolerance for essential-role gaps. Confirm absence exposure, minimum coverage, trained backups and alternative support; routine absence with adequate cover is not the intolerable event.</x:v>
      </x:c>
      <x:c r="Y20" s="8" t="str">
        <x:v>Controllability is substantial for the identified internal cause, subject to available resources and verified implementation.</x:v>
      </x:c>
      <x:c r="Z20" s="8" t="str">
        <x:v>Sustain specialist knowledge and continuity as part of meeting essential service and policyholder obligations. Business necessity does not itself make the exposure tolerable.</x:v>
      </x:c>
      <x:c r="AA20" s="8" t="str">
        <x:v>Consequences may extend beyond three months; reassess during weekly reviews. Initial likelihood horizon ends 2020-06-30; later information belongs to dated reviews.</x:v>
      </x:c>
      <x:c r="AB20" s="8" t="str">
        <x:v>Designated HR lead</x:v>
      </x:c>
      <x:c r="AC20" s="8" t="str">
        <x:v>Cause, event and impact separated; wording aligned to pandemic onset. Source evidence and controls remain unverified. Decisions applied: D11; D12–D14. See Decision Log for specific before/after values.</x:v>
      </x:c>
      <x:c r="AD20" s="8"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AE20" s="5" t="str">
        <x:v>Active</x:v>
      </x:c>
      <x:c r="AF20" s="5" t="str"/>
      <x:c r="AG20" s="39" t="d">
        <x:v>2020-04-01T00:00:00.000Z</x:v>
      </x:c>
      <x:c r="AH20" s="39" t="d">
        <x:v>2020-06-30T00:00:00.000Z</x:v>
      </x:c>
      <x:c r="AI20" s="5" t="str">
        <x:v>Proposed accountable role; individual to be designated</x:v>
      </x:c>
      <x:c r="AJ20" s="5" t="str">
        <x:v>D11; D12; D13; D14; D18</x:v>
      </x:c>
      <x:c r="AK20" s="5" t="str">
        <x:v>D18 project conclusion agreed; provisional assessment subject to stated controls, evidence and assumptions.</x:v>
      </x:c>
    </x:row>
    <x:row r="21" ht="180" customHeight="1">
      <x:c r="A21" s="5" t="str">
        <x:v>R-017</x:v>
      </x:c>
      <x:c r="B21" s="5" t="str">
        <x:v>I1-G-02</x:v>
      </x:c>
      <x:c r="C21" s="5" t="str">
        <x:v>Significant risks are missed or not escalated</x:v>
      </x:c>
      <x:c r="D21" s="5" t="str">
        <x:v>Infrastructure</x:v>
      </x:c>
      <x:c r="E21" s="5" t="str">
        <x:v>2.1</x:v>
      </x:c>
      <x:c r="F21" s="5" t="str">
        <x:v>G</x:v>
      </x:c>
      <x:c r="G21" s="5" t="str">
        <x:v>Approved</x:v>
      </x:c>
      <x:c r="H21" s="5" t="str">
        <x:v>Revised draft for review</x:v>
      </x:c>
      <x:c r="I21" s="5" t="str">
        <x:v>Risk responsibilities, coordination time or reporting procedures are unclear or not implemented.</x:v>
      </x:c>
      <x:c r="J21" s="5" t="str">
        <x:v>A material exposure is identified too late or fails to reach the appropriate decision-maker.</x:v>
      </x:c>
      <x:c r="K21" s="5" t="str">
        <x:v>Protective decisions may be delayed, allowing service, financial or information impacts to worsen.</x:v>
      </x:c>
      <x:c r="L21" s="5" t="str">
        <x:v>Risk oversight and timely decisions</x:v>
      </x:c>
      <x:c r="M21" s="5" t="str">
        <x:v>2020-04-01 to 2020-06-30</x:v>
      </x:c>
      <x:c r="N21" s="9" t="n">
        <x:v>3</x:v>
      </x:c>
      <x:c r="O21" s="9" t="n">
        <x:v>4</x:v>
      </x:c>
      <x:c r="P21" s="11" t="str">
        <x:f>IF(AE21="Consolidated","Consolidated",IF(OR(N21="",O21=""),"Not assessed",INDEX('Assessment Guide'!$B$5:$F$9,N21,O21)))</x:f>
        <x:v>High</x:v>
      </x:c>
      <x:c r="Q21" s="5" t="str">
        <x:v>No full-time specialist does not mean no risk ownership. Likelihood depends on implementation of Part 2 responsibilities.</x:v>
      </x:c>
      <x:c r="R21" s="5" t="str">
        <x:v>Major assumes a missed material exposure. The current staffing structure is not an event with certainty of harm.</x:v>
      </x:c>
      <x:c r="S21" s="5" t="str">
        <x:v>No staff-continuity or wellbeing control is specified in the case. Assessment assumption: Sam’s reported preparation gaps apply at the assessment date.</x:v>
      </x:c>
      <x:c r="T21" s="5" t="str">
        <x:v>Mixed evidence: case arrangements plus explicit team assumptions; see Evidence and experience.</x:v>
      </x:c>
      <x:c r="U21" s="5" t="str">
        <x:v>Existing staffing is capacity, not a tested continuity control. Backup coverage and support effectiveness remain unverified.</x:v>
      </x:c>
      <x:c r="V21" s="5" t="str">
        <x:v>Evidence of assigned roles, coordination capacity and reporting in operation is needed.</x:v>
      </x:c>
      <x:c r="W21" s="5" t="str">
        <x:v>Not tolerable</x:v>
      </x:c>
      <x:c r="X21" s="5" t="str">
        <x:v>Not tolerable if the assumed accountability and escalation gaps persist. No full-time specialist is not itself unacceptable; unclear ownership of material risks is the concern.</x:v>
      </x:c>
      <x:c r="Y21" s="5" t="str">
        <x:v>Controllability is substantial for the identified internal cause, subject to available resources and verified implementation.</x:v>
      </x:c>
      <x:c r="Z21" s="5" t="str">
        <x:v>Sustain risk oversight and timely decisions as part of meeting essential service and policyholder obligations. Business necessity does not itself make the exposure tolerable.</x:v>
      </x:c>
      <x:c r="AA21" s="5" t="str">
        <x:v>Consequences may extend beyond three months; reassess during weekly reviews. Initial likelihood horizon ends 2020-06-30; later information belongs to dated reviews.</x:v>
      </x:c>
      <x:c r="AB21" s="5" t="str">
        <x:v>Designated Executive Director</x:v>
      </x:c>
      <x:c r="AC21" s="5" t="str">
        <x:v>Cause, event and impact separated; wording aligned to pandemic onset. Source evidence and controls remain unverified. Proposed code I1-P-04 to I1-G-02 based on primary cause or index placement. Proposed scores 5/3 to 3/4; see assessment reasoning. D01: Chris approved the Governance and Processes classification on 2026-10-18 (project review). Scores and other assessments remain provisional. Decisions applied: D01; D12–D14. See Decision Log for specific before/after values.</x:v>
      </x:c>
      <x:c r="AD21" s="5"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AE21" s="5" t="str">
        <x:v>Active</x:v>
      </x:c>
      <x:c r="AF21" s="5" t="str"/>
      <x:c r="AG21" s="39" t="d">
        <x:v>2020-04-01T00:00:00.000Z</x:v>
      </x:c>
      <x:c r="AH21" s="39" t="d">
        <x:v>2020-06-30T00:00:00.000Z</x:v>
      </x:c>
      <x:c r="AI21" s="5" t="str">
        <x:v>Proposed accountable role; individual to be designated</x:v>
      </x:c>
      <x:c r="AJ21" s="5" t="str">
        <x:v>D01; D12; D13; D14; D18</x:v>
      </x:c>
      <x:c r="AK21" s="5" t="str">
        <x:v>D18 project conclusion agreed; provisional assessment subject to stated controls, evidence and assumptions.</x:v>
      </x:c>
    </x:row>
    <x:row r="22" ht="180" customHeight="1">
      <x:c r="A22" s="8" t="str">
        <x:v>R-018</x:v>
      </x:c>
      <x:c r="B22" s="8" t="str">
        <x:v>I2-T-01</x:v>
      </x:c>
      <x:c r="C22" s="8" t="str">
        <x:v>Employees lack equipment needed for remote work</x:v>
      </x:c>
      <x:c r="D22" s="8" t="str">
        <x:v>Infrastructure</x:v>
      </x:c>
      <x:c r="E22" s="8" t="str">
        <x:v>2.2</x:v>
      </x:c>
      <x:c r="F22" s="8" t="str">
        <x:v>T</x:v>
      </x:c>
      <x:c r="G22" s="8" t="str">
        <x:v>Provisional</x:v>
      </x:c>
      <x:c r="H22" s="8" t="str">
        <x:v>Revised draft for review</x:v>
      </x:c>
      <x:c r="I22" s="8" t="str">
        <x:v>Office-based equipment may not be suitable or available for secure home use.</x:v>
      </x:c>
      <x:c r="J22" s="8" t="str">
        <x:v>Employees cannot perform essential duties remotely because usable equipment is unavailable.</x:v>
      </x:c>
      <x:c r="K22" s="8" t="str">
        <x:v>Capacity drops and essential services may be delayed during the transition.</x:v>
      </x:c>
      <x:c r="L22" s="8" t="str">
        <x:v>Equipment and essential staffing</x:v>
      </x:c>
      <x:c r="M22" s="8" t="str">
        <x:v>2020-04-01 to 2020-06-30</x:v>
      </x:c>
      <x:c r="N22" s="9" t="n">
        <x:v>4</x:v>
      </x:c>
      <x:c r="O22" s="9" t="n">
        <x:v>4</x:v>
      </x:c>
      <x:c r="P22" s="10" t="str">
        <x:f>IF(AE22="Consolidated","Consolidated",IF(OR(N22="",O22=""),"Not assessed",INDEX('Assessment Guide'!$B$5:$F$9,N22,O22)))</x:f>
        <x:v>Extreme</x:v>
      </x:c>
      <x:c r="Q22" s="8" t="str">
        <x:v>Few laptops and office-based equipment suggest likely constraints; desktops may be redeployed, so inability is not certain.</x:v>
      </x:c>
      <x:c r="R22" s="8" t="str">
        <x:v>Major assumes a sizeable essential-workforce shortfall, not a small procurement delay.</x:v>
      </x:c>
      <x:c r="S22" s="8" t="str">
        <x:v>Case: existing desktops and laptops. No secure remote-deployment readiness is specified.</x:v>
      </x:c>
      <x:c r="T22" s="8" t="str">
        <x:v>Mixed evidence: case arrangements plus explicit team assumptions; see Evidence and experience.</x:v>
      </x:c>
      <x:c r="U22" s="8" t="str">
        <x:v>Available equipment may support redeployment but does not establish that essential staff can work securely from home.</x:v>
      </x:c>
      <x:c r="V22" s="8" t="str">
        <x:v>Device inventory, secure desktop redeployment and staff access readiness are unverified.</x:v>
      </x:c>
      <x:c r="W22" s="8" t="str">
        <x:v>Not tolerable</x:v>
      </x:c>
      <x:c r="X22" s="8" t="str">
        <x:v>Not tolerable under the assumed essential-role equipment shortfall. Redeployable desktops may change this judgment, but continuity cannot rely on unverified access.</x:v>
      </x:c>
      <x:c r="Y22" s="8" t="str">
        <x:v>Controllability is substantial for the identified internal cause, subject to available resources and verified implementation.</x:v>
      </x:c>
      <x:c r="Z22" s="8" t="str">
        <x:v>Sustain equipment and essential staffing as part of meeting essential service and policyholder obligations. Business necessity does not itself make the exposure tolerable.</x:v>
      </x:c>
      <x:c r="AA22" s="8" t="str">
        <x:v>Consequences may extend beyond three months; reassess during weekly reviews. Initial likelihood horizon ends 2020-06-30; later information belongs to dated reviews.</x:v>
      </x:c>
      <x:c r="AB22" s="8" t="str">
        <x:v>Network Manager</x:v>
      </x:c>
      <x:c r="AC22" s="8" t="str">
        <x:v>Cause, event and impact separated; wording aligned to pandemic onset. Source evidence and controls remain unverified. Proposed scores 5/4 to 4/4; see assessment reasoning. Decisions applied: D11; D12–D14. See Decision Log for specific before/after values.</x:v>
      </x:c>
      <x:c r="AD22" s="8" t="str">
        <x:v>Business outline(1).pdf: The case confirms 50 desktops, a couple of laptops and on-site servers (pp. 7–8). Secure remote suitability is unspecified. Team source: Sam’s Existing Controls.docx; original descriptions and examples are preserved by Record ID in Source Records. No internal incident history is verified. Only evidence available by 2020-04-01 can support the initial assessment.</x:v>
      </x:c>
      <x:c r="AE22" s="5" t="str">
        <x:v>Active</x:v>
      </x:c>
      <x:c r="AF22" s="5" t="str"/>
      <x:c r="AG22" s="39" t="d">
        <x:v>2020-04-01T00:00:00.000Z</x:v>
      </x:c>
      <x:c r="AH22" s="39" t="d">
        <x:v>2020-06-30T00:00:00.000Z</x:v>
      </x:c>
      <x:c r="AI22" s="5" t="str">
        <x:v>Proposed accountable role; individual to be designated</x:v>
      </x:c>
      <x:c r="AJ22" s="5" t="str">
        <x:v>D11; D12; D13; D14; D18</x:v>
      </x:c>
      <x:c r="AK22" s="5" t="str">
        <x:v>D18 project conclusion agreed; provisional assessment subject to stated controls, evidence and assumptions.</x:v>
      </x:c>
    </x:row>
    <x:row r="23" ht="180" customHeight="1">
      <x:c r="A23" s="5" t="str">
        <x:v>R-019</x:v>
      </x:c>
      <x:c r="B23" s="5" t="str">
        <x:v>I2-E-01</x:v>
      </x:c>
      <x:c r="C23" s="5" t="str">
        <x:v>Restricted premises access delays essential maintenance</x:v>
      </x:c>
      <x:c r="D23" s="5" t="str">
        <x:v>Infrastructure</x:v>
      </x:c>
      <x:c r="E23" s="5" t="str">
        <x:v>2.2</x:v>
      </x:c>
      <x:c r="F23" s="5" t="str">
        <x:v>E</x:v>
      </x:c>
      <x:c r="G23" s="5" t="str">
        <x:v>Provisional</x:v>
      </x:c>
      <x:c r="H23" s="5" t="str">
        <x:v>Revised draft for review</x:v>
      </x:c>
      <x:c r="I23" s="5" t="str">
        <x:v>Public health restrictions or access arrangements limit physical attendance.</x:v>
      </x:c>
      <x:c r="J23" s="5" t="str">
        <x:v>Required server or equipment maintenance cannot be completed in time.</x:v>
      </x:c>
      <x:c r="K23" s="5" t="str">
        <x:v>A fault may persist or worsen, extending disruption to essential services.</x:v>
      </x:c>
      <x:c r="L23" s="5" t="str">
        <x:v>Premises and technology</x:v>
      </x:c>
      <x:c r="M23" s="5" t="str">
        <x:v>2020-04-01 to 2020-06-30</x:v>
      </x:c>
      <x:c r="N23" s="9" t="n">
        <x:v>4</x:v>
      </x:c>
      <x:c r="O23" s="9" t="n">
        <x:v>3</x:v>
      </x:c>
      <x:c r="P23" s="11" t="str">
        <x:f>IF(AE23="Consolidated","Consolidated",IF(OR(N23="",O23=""),"Not assessed",INDEX('Assessment Guide'!$B$5:$F$9,N23,O23)))</x:f>
        <x:v>High</x:v>
      </x:c>
      <x:c r="Q23" s="5" t="str">
        <x:v>Restrictions make access delays likely, but approved access routes and remote maintenance options are unknown.</x:v>
      </x:c>
      <x:c r="R23" s="5" t="str">
        <x:v>Moderate assumes some workarounds remain available; prolonged critical-system loss is assessed separately.</x:v>
      </x:c>
      <x:c r="S23" s="5" t="str">
        <x:v>Case: existing desktops and laptops. No secure remote-deployment readiness is specified.</x:v>
      </x:c>
      <x:c r="T23" s="5" t="str">
        <x:v>Mixed evidence: case arrangements plus explicit team assumptions; see Evidence and experience.</x:v>
      </x:c>
      <x:c r="U23" s="5" t="str">
        <x:v>Available equipment may support redeployment but does not establish that essential staff can work securely from home.</x:v>
      </x:c>
      <x:c r="V23" s="5" t="str">
        <x:v>Essential access permissions, maintenance coverage and remote support need confirmation.</x:v>
      </x:c>
      <x:c r="W23" s="5" t="str">
        <x:v>Tolerable</x:v>
      </x:c>
      <x:c r="X23" s="5" t="str">
        <x:v>Tolerable as a provisional, limited maintenance-delay scenario if remote support or permitted essential access preserves core services. This assumption is unverified; inability to maintain critical systems would make the exposure not tolerable.</x:v>
      </x:c>
      <x:c r="Y23" s="5" t="str">
        <x:v>Controllability is partial: internal preparation and decisions can reduce exposure, while external conditions may remain beyond our control.</x:v>
      </x:c>
      <x:c r="Z23" s="5" t="str">
        <x:v>Sustain premises and technology as part of meeting essential service and policyholder obligations. Business necessity does not itself make the exposure tolerable.</x:v>
      </x:c>
      <x:c r="AA23" s="5" t="str">
        <x:v>Consequences may extend beyond three months; reassess during weekly reviews. Initial likelihood horizon ends 2020-06-30; later information belongs to dated reviews.</x:v>
      </x:c>
      <x:c r="AB23" s="5" t="str">
        <x:v>Network Manager</x:v>
      </x:c>
      <x:c r="AC23" s="5" t="str">
        <x:v>Cause, event and impact separated; wording aligned to pandemic onset. Source evidence and controls remain unverified. Decisions applied: D11; D12–D14. See Decision Log for specific before/after values.</x:v>
      </x:c>
      <x:c r="AD23" s="5" t="str">
        <x:v>Business outline(1).pdf: The case confirms 50 desktops, a couple of laptops and on-site servers (pp. 7–8). Secure remote suitability is unspecified. Team source: Sam’s Existing Controls.docx; original descriptions and examples are preserved by Record ID in Source Records. No internal incident history is verified. Only evidence available by 2020-04-01 can support the initial assessment.</x:v>
      </x:c>
      <x:c r="AE23" s="5" t="str">
        <x:v>Active</x:v>
      </x:c>
      <x:c r="AF23" s="5" t="str"/>
      <x:c r="AG23" s="39" t="d">
        <x:v>2020-04-01T00:00:00.000Z</x:v>
      </x:c>
      <x:c r="AH23" s="39" t="d">
        <x:v>2020-06-30T00:00:00.000Z</x:v>
      </x:c>
      <x:c r="AI23" s="5" t="str">
        <x:v>Proposed accountable role; individual to be designated</x:v>
      </x:c>
      <x:c r="AJ23" s="5" t="str">
        <x:v>D11; D12; D13; D14; D18</x:v>
      </x:c>
      <x:c r="AK23" s="5" t="str">
        <x:v>D18 project conclusion agreed; provisional assessment subject to stated controls, evidence and assumptions.</x:v>
      </x:c>
    </x:row>
    <x:row r="24" ht="180" customHeight="1">
      <x:c r="A24" s="8" t="str">
        <x:v>R-020</x:v>
      </x:c>
      <x:c r="B24" s="8" t="str">
        <x:v>I3-T-01</x:v>
      </x:c>
      <x:c r="C24" s="8" t="str">
        <x:v>System compromise disrupts operations or damages integrity</x:v>
      </x:c>
      <x:c r="D24" s="8" t="str">
        <x:v>Infrastructure</x:v>
      </x:c>
      <x:c r="E24" s="8" t="str">
        <x:v>2.3</x:v>
      </x:c>
      <x:c r="F24" s="8" t="str">
        <x:v>T</x:v>
      </x:c>
      <x:c r="G24" s="8" t="str">
        <x:v>Provisional</x:v>
      </x:c>
      <x:c r="H24" s="8" t="str">
        <x:v>Revised draft for review</x:v>
      </x:c>
      <x:c r="I24" s="8" t="str">
        <x:v>Insufficient authentication, access safeguards or endpoint protection exposes remote connections.</x:v>
      </x:c>
      <x:c r="J24" s="8" t="str">
        <x:v>Unauthorized access compromises system integrity or disrupts essential operations.</x:v>
      </x:c>
      <x:c r="K24" s="8" t="str">
        <x:v>Corrupted systems or records, interrupted workflows and restoration costs may threaten essential service delivery. Customer-information disclosure is assessed separately in R-033.</x:v>
      </x:c>
      <x:c r="L24" s="8" t="str">
        <x:v>Technology and information security</x:v>
      </x:c>
      <x:c r="M24" s="8" t="str">
        <x:v>2020-04-01 to 2020-06-30</x:v>
      </x:c>
      <x:c r="N24" s="9" t="n">
        <x:v>4</x:v>
      </x:c>
      <x:c r="O24" s="9" t="n">
        <x:v>4</x:v>
      </x:c>
      <x:c r="P24" s="10" t="str">
        <x:f>IF(AE24="Consolidated","Consolidated",IF(OR(N24="",O24=""),"Not assessed",INDEX('Assessment Guide'!$B$5:$F$9,N24,O24)))</x:f>
        <x:v>Extreme</x:v>
      </x:c>
      <x:c r="Q24" s="8" t="str">
        <x:v>Expanded remote access without credited safeguards creates likely attack exposure; incident probability remains a judgment.</x:v>
      </x:c>
      <x:c r="R24" s="8" t="str">
        <x:v>Major: substantial operational disruption or damage to system integrity. Severe would require sustained loss of essential operations beyond this base scenario. No customer-disclosure impact is counted here.</x:v>
      </x:c>
      <x:c r="S24" s="8" t="str">
        <x:v>Case: third-party cloud backup, hosting and security advice. Assumption from Sam: firewalls, email scanning and minimum-privilege access operate as basic office safeguards.</x:v>
      </x:c>
      <x:c r="T24" s="8" t="str">
        <x:v>Mixed evidence: case arrangements plus explicit team assumptions; see Evidence and experience.</x:v>
      </x:c>
      <x:c r="U24" s="8" t="str">
        <x:v>Basic safeguards may reduce exposure. Their remote-work coverage, integrity protection, monitoring and restoration performance are unverified.</x:v>
      </x:c>
      <x:c r="V24" s="8" t="str">
        <x:v>Firewall, email scanning and access restriction coverage are reported but not verified for remote work.</x:v>
      </x:c>
      <x:c r="W24" s="8" t="str">
        <x:v>Not tolerable</x:v>
      </x:c>
      <x:c r="X24" s="8" t="str">
        <x:v>Not tolerable on the assumed inadequacy of remote safeguards against a major system compromise. Basic office controls do not demonstrate sufficient protection for the changed operating model.</x:v>
      </x:c>
      <x:c r="Y24" s="8" t="str">
        <x:v>Controllability is substantial for the identified internal cause, subject to available resources and verified implementation.</x:v>
      </x:c>
      <x:c r="Z24" s="8" t="str">
        <x:v>Sustain technology and information security as part of meeting essential service and policyholder obligations. Business necessity does not itself make the exposure tolerable.</x:v>
      </x:c>
      <x:c r="AA24" s="8" t="str">
        <x:v>Consequences may extend beyond three months; reassess during weekly reviews. Initial likelihood horizon ends 2020-06-30; later information belongs to dated reviews.</x:v>
      </x:c>
      <x:c r="AB24" s="8" t="str">
        <x:v>Network Manager</x:v>
      </x:c>
      <x:c r="AC24" s="8" t="str">
        <x:v>Cause, event and impact separated; wording aligned to pandemic onset. Source evidence and controls remain unverified. Decisions applied: D03; D10; D12–D14. See Decision Log for specific before/after values.</x:v>
      </x:c>
      <x:c r="AD24" s="8"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24" s="5" t="str">
        <x:v>Active</x:v>
      </x:c>
      <x:c r="AF24" s="5" t="str"/>
      <x:c r="AG24" s="39" t="d">
        <x:v>2020-04-01T00:00:00.000Z</x:v>
      </x:c>
      <x:c r="AH24" s="39" t="d">
        <x:v>2020-06-30T00:00:00.000Z</x:v>
      </x:c>
      <x:c r="AI24" s="5" t="str">
        <x:v>Proposed accountable role; individual to be designated</x:v>
      </x:c>
      <x:c r="AJ24" s="5" t="str">
        <x:v>D03; D10; D12; D13; D14; D18</x:v>
      </x:c>
      <x:c r="AK24" s="5" t="str">
        <x:v>D18 project conclusion agreed; provisional assessment subject to stated controls, evidence and assumptions.</x:v>
      </x:c>
    </x:row>
    <x:row r="25" ht="180" customHeight="1">
      <x:c r="A25" s="5" t="str">
        <x:v>R-021</x:v>
      </x:c>
      <x:c r="B25" s="5" t="str">
        <x:v>I3-T-02</x:v>
      </x:c>
      <x:c r="C25" s="5" t="str">
        <x:v>Network capacity degrades service performance</x:v>
      </x:c>
      <x:c r="D25" s="5" t="str">
        <x:v>Infrastructure</x:v>
      </x:c>
      <x:c r="E25" s="5" t="str">
        <x:v>2.3</x:v>
      </x:c>
      <x:c r="F25" s="5" t="str">
        <x:v>T</x:v>
      </x:c>
      <x:c r="G25" s="5" t="str">
        <x:v>Provisional</x:v>
      </x:c>
      <x:c r="H25" s="5" t="str">
        <x:v>Revised draft for review</x:v>
      </x:c>
      <x:c r="I25" s="5" t="str">
        <x:v>Remote demand exceeds network, server or internet capacity. Inadequate capacity testing may leave this limitation unidentified.</x:v>
      </x:c>
      <x:c r="J25" s="5" t="str">
        <x:v>Essential systems respond too slowly to support normal workloads.</x:v>
      </x:c>
      <x:c r="K25" s="5" t="str">
        <x:v>Processing queues and customer response times increase, requiring resource reallocation.</x:v>
      </x:c>
      <x:c r="L25" s="5" t="str">
        <x:v>Network capacity</x:v>
      </x:c>
      <x:c r="M25" s="5" t="str">
        <x:v>2020-04-01 to 2020-06-30</x:v>
      </x:c>
      <x:c r="N25" s="9" t="n">
        <x:v>4</x:v>
      </x:c>
      <x:c r="O25" s="9" t="n">
        <x:v>3</x:v>
      </x:c>
      <x:c r="P25" s="11" t="str">
        <x:f>IF(AE25="Consolidated","Consolidated",IF(OR(N25="",O25=""),"Not assessed",INDEX('Assessment Guide'!$B$5:$F$9,N25,O25)))</x:f>
        <x:v>High</x:v>
      </x:c>
      <x:c r="Q25" s="5" t="str">
        <x:v>The transition increases traffic through office-oriented infrastructure, making congestion likely without controls.</x:v>
      </x:c>
      <x:c r="R25" s="5" t="str">
        <x:v>Moderate describes degraded service while obligations remain achievable; full outage is R-022.</x:v>
      </x:c>
      <x:c r="S25" s="5" t="str">
        <x:v>Case: third-party cloud backup, hosting and security advice. Assumption from Sam: firewalls, email scanning and minimum-privilege access operate as basic office safeguards.</x:v>
      </x:c>
      <x:c r="T25" s="5" t="str">
        <x:v>Mixed evidence: case arrangements plus explicit team assumptions; see Evidence and experience.</x:v>
      </x:c>
      <x:c r="U25" s="5" t="str">
        <x:v>Basic safeguards may reduce exposure. Their remote-work coverage, integrity protection, monitoring and restoration performance are unverified.</x:v>
      </x:c>
      <x:c r="V25" s="5" t="str">
        <x:v>Load tests, utilization records and capacity thresholds are unavailable.</x:v>
      </x:c>
      <x:c r="W25" s="5" t="str">
        <x:v>Not tolerable</x:v>
      </x:c>
      <x:c r="X25" s="5" t="str">
        <x:v>Not tolerable on the assumption that congestion regularly threatens essential workflows and capacity safeguards are inadequate. Minor temporary slowdowns within agreed limits could be tolerable, but that is not the assessed material scenario.</x:v>
      </x:c>
      <x:c r="Y25" s="5" t="str">
        <x:v>Controllability is substantial for the identified internal cause, subject to available resources and verified implementation.</x:v>
      </x:c>
      <x:c r="Z25" s="5" t="str">
        <x:v>Sustain network capacity as part of meeting essential service and policyholder obligations. Business necessity does not itself make the exposure tolerable.</x:v>
      </x:c>
      <x:c r="AA25" s="5" t="str">
        <x:v>Consequences may extend beyond three months; reassess during weekly reviews. Initial likelihood horizon ends 2020-06-30; later information belongs to dated reviews.</x:v>
      </x:c>
      <x:c r="AB25" s="5" t="str">
        <x:v>Network Manager</x:v>
      </x:c>
      <x:c r="AC25" s="5" t="str">
        <x:v>Cause, event and impact separated; wording aligned to pandemic onset. Source evidence and controls remain unverified. Decisions applied: D04; D12–D14. See Decision Log for specific before/after values.</x:v>
      </x:c>
      <x:c r="AD25" s="5"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25" s="5" t="str">
        <x:v>Active</x:v>
      </x:c>
      <x:c r="AF25" s="5" t="str"/>
      <x:c r="AG25" s="39" t="d">
        <x:v>2020-04-01T00:00:00.000Z</x:v>
      </x:c>
      <x:c r="AH25" s="39" t="d">
        <x:v>2020-06-30T00:00:00.000Z</x:v>
      </x:c>
      <x:c r="AI25" s="5" t="str">
        <x:v>Proposed accountable role; individual to be designated</x:v>
      </x:c>
      <x:c r="AJ25" s="5" t="str">
        <x:v>D04; D12; D13; D14; D18</x:v>
      </x:c>
      <x:c r="AK25" s="5" t="str">
        <x:v>D18 project conclusion agreed; provisional assessment subject to stated controls, evidence and assumptions.</x:v>
      </x:c>
    </x:row>
    <x:row r="26" ht="180" customHeight="1">
      <x:c r="A26" s="8" t="str">
        <x:v>R-022</x:v>
      </x:c>
      <x:c r="B26" s="8" t="str">
        <x:v>I3-T-03</x:v>
      </x:c>
      <x:c r="C26" s="8" t="str">
        <x:v>A network outage stops essential operations</x:v>
      </x:c>
      <x:c r="D26" s="8" t="str">
        <x:v>Infrastructure</x:v>
      </x:c>
      <x:c r="E26" s="8" t="str">
        <x:v>2.3</x:v>
      </x:c>
      <x:c r="F26" s="8" t="str">
        <x:v>T</x:v>
      </x:c>
      <x:c r="G26" s="8" t="str">
        <x:v>Provisional</x:v>
      </x:c>
      <x:c r="H26" s="8" t="str">
        <x:v>Revised draft for review</x:v>
      </x:c>
      <x:c r="I26" s="8" t="str">
        <x:v>A critical network component or single connection fails without a usable alternative. Inadequate testing may leave overload and failure points unidentified.</x:v>
      </x:c>
      <x:c r="J26" s="8" t="str">
        <x:v>Claims processing, premium collection and customer support become unavailable.</x:v>
      </x:c>
      <x:c r="K26" s="8" t="str">
        <x:v>A prolonged outage may prevent delivery of essential services and cause substantial financial and customer harm.</x:v>
      </x:c>
      <x:c r="L26" s="8" t="str">
        <x:v>Core systems and connectivity</x:v>
      </x:c>
      <x:c r="M26" s="8" t="str">
        <x:v>2020-04-01 to 2020-06-30</x:v>
      </x:c>
      <x:c r="N26" s="9" t="n">
        <x:v>3</x:v>
      </x:c>
      <x:c r="O26" s="9" t="n">
        <x:v>4</x:v>
      </x:c>
      <x:c r="P26" s="10" t="str">
        <x:f>IF(AE26="Consolidated","Consolidated",IF(OR(N26="",O26=""),"Not assessed",INDEX('Assessment Guide'!$B$5:$F$9,N26,O26)))</x:f>
        <x:v>High</x:v>
      </x:c>
      <x:c r="Q26" s="8" t="str">
        <x:v>Single points of failure make an outage plausible; no outage history supports a more precise probability.</x:v>
      </x:c>
      <x:c r="R26" s="8" t="str">
        <x:v>Major: loss of IT, telephony or network communications for longer than one day is an explicit case concern (Business outline, p. 3). This can materially interrupt obligations without establishing sustained inability to operate. A prolonged organizational shutdown remains a severe escalation scenario.</x:v>
      </x:c>
      <x:c r="S26" s="8" t="str">
        <x:v>Case: third-party cloud backup, hosting and security advice. Assumption from Sam: firewalls, email scanning and minimum-privilege access operate as basic office safeguards.</x:v>
      </x:c>
      <x:c r="T26" s="8" t="str">
        <x:v>Mixed evidence: case arrangements plus explicit team assumptions; see Evidence and experience.</x:v>
      </x:c>
      <x:c r="U26" s="8" t="str">
        <x:v>Basic safeguards may reduce exposure. Their remote-work coverage, integrity protection, monitoring and restoration performance are unverified.</x:v>
      </x:c>
      <x:c r="V26" s="8" t="str">
        <x:v>Failover, recovery tests, outage tolerance and continuity arrangements need confirmation.</x:v>
      </x:c>
      <x:c r="W26" s="8" t="str">
        <x:v>Not tolerable</x:v>
      </x:c>
      <x:c r="X26" s="8" t="str">
        <x:v>Not tolerable on the assumed lack of a workable alternative for a material network outage. Essential operations depend on connectivity and sustained interruption is outside the intended service-continuity position.</x:v>
      </x:c>
      <x:c r="Y26" s="8" t="str">
        <x:v>Controllability is substantial for the identified internal cause, subject to available resources and verified implementation.</x:v>
      </x:c>
      <x:c r="Z26" s="8" t="str">
        <x:v>Sustain core systems and connectivity as part of meeting essential service and policyholder obligations. Business necessity does not itself make the exposure tolerable.</x:v>
      </x:c>
      <x:c r="AA26" s="8" t="str">
        <x:v>Consequences may extend beyond three months; reassess during weekly reviews. Initial likelihood horizon ends 2020-06-30; later information belongs to dated reviews.</x:v>
      </x:c>
      <x:c r="AB26" s="8" t="str">
        <x:v>Network Manager</x:v>
      </x:c>
      <x:c r="AC26" s="8" t="str">
        <x:v>Cause, event and impact separated; wording aligned to pandemic onset. Source evidence and controls remain unverified. Decisions applied: D04; D10; D12–D14. See Decision Log for specific before/after values.</x:v>
      </x:c>
      <x:c r="AD26" s="8"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26" s="5" t="str">
        <x:v>Active</x:v>
      </x:c>
      <x:c r="AF26" s="5" t="str"/>
      <x:c r="AG26" s="39" t="d">
        <x:v>2020-04-01T00:00:00.000Z</x:v>
      </x:c>
      <x:c r="AH26" s="39" t="d">
        <x:v>2020-06-30T00:00:00.000Z</x:v>
      </x:c>
      <x:c r="AI26" s="5" t="str">
        <x:v>Proposed accountable role; individual to be designated</x:v>
      </x:c>
      <x:c r="AJ26" s="5" t="str">
        <x:v>D04; D10; D12; D13; D14; D18</x:v>
      </x:c>
      <x:c r="AK26" s="5" t="str">
        <x:v>D18 project conclusion agreed; provisional assessment subject to stated controls, evidence and assumptions.</x:v>
      </x:c>
    </x:row>
    <x:row r="27" ht="180" customHeight="1">
      <x:c r="A27" s="5" t="str">
        <x:v>R-023</x:v>
      </x:c>
      <x:c r="B27" s="5" t="str">
        <x:v>I3-P-01</x:v>
      </x:c>
      <x:c r="C27" s="5" t="str">
        <x:v>Limited monitoring capacity delays incident detection</x:v>
      </x:c>
      <x:c r="D27" s="5" t="str">
        <x:v>Infrastructure</x:v>
      </x:c>
      <x:c r="E27" s="5" t="str">
        <x:v>2.3</x:v>
      </x:c>
      <x:c r="F27" s="5" t="str">
        <x:v>P</x:v>
      </x:c>
      <x:c r="G27" s="5" t="str">
        <x:v>Provisional</x:v>
      </x:c>
      <x:c r="H27" s="5" t="str">
        <x:v>Revised draft for review</x:v>
      </x:c>
      <x:c r="I27" s="5" t="str">
        <x:v>IT staffing or coverage does not match monitoring needs.</x:v>
      </x:c>
      <x:c r="J27" s="5" t="str">
        <x:v>A significant incident remains undetected or unattended outside available coverage.</x:v>
      </x:c>
      <x:c r="K27" s="5" t="str">
        <x:v>An outage or compromise persists longer, increasing recovery costs and customer harm.</x:v>
      </x:c>
      <x:c r="L27" s="5" t="str">
        <x:v>IT staffing and detection</x:v>
      </x:c>
      <x:c r="M27" s="5" t="str">
        <x:v>2020-04-01 to 2020-06-30</x:v>
      </x:c>
      <x:c r="N27" s="9" t="n">
        <x:v>3</x:v>
      </x:c>
      <x:c r="O27" s="9" t="n">
        <x:v>4</x:v>
      </x:c>
      <x:c r="P27" s="11" t="str">
        <x:f>IF(AE27="Consolidated","Consolidated",IF(OR(N27="",O27=""),"Not assessed",INDEX('Assessment Guide'!$B$5:$F$9,N27,O27)))</x:f>
        <x:v>High</x:v>
      </x:c>
      <x:c r="Q27" s="5" t="str">
        <x:v>Six staff alone does not prove a coverage gap; schedules and external monitoring determine exposure.</x:v>
      </x:c>
      <x:c r="R27" s="5" t="str">
        <x:v>Major assumes delayed detection of a significant incident rather than every after-hours alert.</x:v>
      </x:c>
      <x:c r="S27" s="5" t="str">
        <x:v>No staff-continuity or wellbeing control is specified in the case. Assessment assumption: Sam’s reported preparation gaps apply at the assessment date.</x:v>
      </x:c>
      <x:c r="T27" s="5" t="str">
        <x:v>Mixed evidence: case arrangements plus explicit team assumptions; see Evidence and experience.</x:v>
      </x:c>
      <x:c r="U27" s="5" t="str">
        <x:v>Existing staffing is capacity, not a tested continuity control. Backup coverage and support effectiveness remain unverified.</x:v>
      </x:c>
      <x:c r="V27" s="5" t="str">
        <x:v>Staff schedules, vendor monitoring and alert escalation coverage are unknown.</x:v>
      </x:c>
      <x:c r="W27" s="5" t="str">
        <x:v>Not tolerable</x:v>
      </x:c>
      <x:c r="X27" s="5" t="str">
        <x:v>Not tolerable if a material incident can remain unattended because monitoring coverage is inadequate. Staffing numbers alone do not establish this gap; the decision is conditional on the stated coverage assumption.</x:v>
      </x:c>
      <x:c r="Y27" s="5" t="str">
        <x:v>Controllability is substantial for the identified internal cause, subject to available resources and verified implementation.</x:v>
      </x:c>
      <x:c r="Z27" s="5" t="str">
        <x:v>Sustain it staffing and detection as part of meeting essential service and policyholder obligations. Business necessity does not itself make the exposure tolerable.</x:v>
      </x:c>
      <x:c r="AA27" s="5" t="str">
        <x:v>Consequences may extend beyond three months; reassess during weekly reviews. Initial likelihood horizon ends 2020-06-30; later information belongs to dated reviews.</x:v>
      </x:c>
      <x:c r="AB27" s="5" t="str">
        <x:v>Network Manager</x:v>
      </x:c>
      <x:c r="AC27" s="5" t="str">
        <x:v>Cause, event and impact separated; wording aligned to pandemic onset. Source evidence and controls remain unverified. Proposed scores 4/3 to 3/4; see assessment reasoning. Decisions applied: D11; D12–D14. See Decision Log for specific before/after values.</x:v>
      </x:c>
      <x:c r="AD27" s="5"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AE27" s="5" t="str">
        <x:v>Active</x:v>
      </x:c>
      <x:c r="AF27" s="5" t="str"/>
      <x:c r="AG27" s="39" t="d">
        <x:v>2020-04-01T00:00:00.000Z</x:v>
      </x:c>
      <x:c r="AH27" s="39" t="d">
        <x:v>2020-06-30T00:00:00.000Z</x:v>
      </x:c>
      <x:c r="AI27" s="5" t="str">
        <x:v>Proposed accountable role; individual to be designated</x:v>
      </x:c>
      <x:c r="AJ27" s="5" t="str">
        <x:v>D11; D12; D13; D14; D18</x:v>
      </x:c>
      <x:c r="AK27" s="5" t="str">
        <x:v>D18 project conclusion agreed; provisional assessment subject to stated controls, evidence and assumptions.</x:v>
      </x:c>
    </x:row>
    <x:row r="28" ht="180" customHeight="1">
      <x:c r="A28" s="8" t="str">
        <x:v>R-024</x:v>
      </x:c>
      <x:c r="B28" s="8" t="str">
        <x:v>I3-G-01</x:v>
      </x:c>
      <x:c r="C28" s="8" t="str">
        <x:v>Untested arrangements fail under load or during recovery</x:v>
      </x:c>
      <x:c r="D28" s="8" t="str">
        <x:v>Infrastructure</x:v>
      </x:c>
      <x:c r="E28" s="8" t="str">
        <x:v>2.3</x:v>
      </x:c>
      <x:c r="F28" s="8" t="str">
        <x:v>G</x:v>
      </x:c>
      <x:c r="G28" s="8" t="str">
        <x:v>Approved</x:v>
      </x:c>
      <x:c r="H28" s="8" t="str">
        <x:v>Consolidated</x:v>
      </x:c>
      <x:c r="I28" s="8" t="str">
        <x:v>Capacity and recovery tests are absent, inadequate or not acted upon.</x:v>
      </x:c>
      <x:c r="J28" s="8" t="str">
        <x:v>A critical arrangement fails when stressed or when recovery is required.</x:v>
      </x:c>
      <x:c r="K28" s="8" t="str">
        <x:v>Disruption lasts longer than expected and essential obligations may be threatened.</x:v>
      </x:c>
      <x:c r="L28" s="8" t="str">
        <x:v>Assurance of capacity and recovery</x:v>
      </x:c>
      <x:c r="M28" s="8" t="str">
        <x:v>2020-04-01 to 2020-06-30</x:v>
      </x:c>
      <x:c r="N28" s="9"/>
      <x:c r="O28" s="9"/>
      <x:c r="P28" s="10" t="str">
        <x:f>IF(AE28="Consolidated","Consolidated",IF(OR(N28="",O28=""),"Not assessed",INDEX('Assessment Guide'!$B$5:$F$9,N28,O28)))</x:f>
        <x:v>Consolidated</x:v>
      </x:c>
      <x:c r="Q28" s="8" t="str">
        <x:v>Untested arrangements create uncertainty, not a certain failure. Demand or recovery activation must also occur.</x:v>
      </x:c>
      <x:c r="R28" s="8" t="str">
        <x:v>Major reflects failure of a critical arrangement; overlaps with R-021, R-022 and R-027 require review.</x:v>
      </x:c>
      <x:c r="S28" s="8" t="str">
        <x:v>Case: third-party cloud backup, hosting and security advice. Assumption from Sam: firewalls, email scanning and minimum-privilege access operate as basic office safeguards.</x:v>
      </x:c>
      <x:c r="T28" s="8" t="str">
        <x:v>Mixed evidence: case arrangements plus explicit team assumptions; see Evidence and experience.</x:v>
      </x:c>
      <x:c r="U28" s="8" t="str">
        <x:v>Basic safeguards may reduce exposure. Their remote-work coverage, integrity protection, monitoring and restoration performance are unverified.</x:v>
      </x:c>
      <x:c r="V28" s="8" t="str">
        <x:v>Test plans, results, remediation and recovery evidence are not documented.</x:v>
      </x:c>
      <x:c r="W28" s="8" t="str">
        <x:v>Not assessed separately</x:v>
      </x:c>
      <x:c r="X28" s="8" t="str">
        <x:v>Consolidated, not resolved. Current assessment is held in R-021; R-022; R-025. Original content and ratings remain in source/history sheets.</x:v>
      </x:c>
      <x:c r="Y28" s="8" t="str">
        <x:v>Controllability is substantial for the identified internal cause, subject to available resources and verified implementation.</x:v>
      </x:c>
      <x:c r="Z28" s="8" t="str">
        <x:v>Sustain assurance of capacity and recovery as part of meeting essential service and policyholder obligations. Business necessity does not itself make the exposure tolerable.</x:v>
      </x:c>
      <x:c r="AA28" s="8" t="str">
        <x:v>Consequences may extend beyond three months; reassess during weekly reviews. Initial likelihood horizon ends 2020-06-30; later information belongs to dated reviews.</x:v>
      </x:c>
      <x:c r="AB28" s="8" t="str">
        <x:v>Network Manager</x:v>
      </x:c>
      <x:c r="AC28" s="8" t="str">
        <x:v>Cause, event and impact separated; wording aligned to pandemic onset. Source evidence and controls remain unverified. Proposed code I3-T-04 to I3-G-01 based on primary cause or index placement. Proposed scores 5/2 to 3/4; see assessment reasoning. D01: Chris approved the Governance and Processes classification on 2026-10-18 (project review). Scores and other assessments remain provisional. Decisions applied: D01; D04; D12–D14. See Decision Log for specific before/after values.</x:v>
      </x:c>
      <x:c r="AD28" s="8"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28" s="5" t="str">
        <x:v>Consolidated</x:v>
      </x:c>
      <x:c r="AF28" s="5" t="str">
        <x:v>R-021; R-022; R-025</x:v>
      </x:c>
      <x:c r="AG28" s="39" t="d">
        <x:v>2020-04-01T00:00:00.000Z</x:v>
      </x:c>
      <x:c r="AH28" s="39" t="d">
        <x:v>2020-06-30T00:00:00.000Z</x:v>
      </x:c>
      <x:c r="AI28" s="5" t="str">
        <x:v>Proposed accountable role; individual to be designated</x:v>
      </x:c>
      <x:c r="AJ28" s="5" t="str">
        <x:v>D01; D04; D12; D13; D14</x:v>
      </x:c>
      <x:c r="AK28" s="5" t="str">
        <x:v>Consolidation agreed</x:v>
      </x:c>
    </x:row>
    <x:row r="29" ht="180" customHeight="1">
      <x:c r="A29" s="5" t="str">
        <x:v>R-025</x:v>
      </x:c>
      <x:c r="B29" s="5" t="str">
        <x:v>I4-G-02</x:v>
      </x:c>
      <x:c r="C29" s="5" t="str">
        <x:v>Service restoration exceeds the required timeframe</x:v>
      </x:c>
      <x:c r="D29" s="5" t="str">
        <x:v>Infrastructure</x:v>
      </x:c>
      <x:c r="E29" s="5" t="str">
        <x:v>2.4</x:v>
      </x:c>
      <x:c r="F29" s="5" t="str">
        <x:v>Governance and Processes</x:v>
      </x:c>
      <x:c r="G29" s="5" t="str">
        <x:v>Approved</x:v>
      </x:c>
      <x:c r="H29" s="5" t="str">
        <x:v>Revised draft for review</x:v>
      </x:c>
      <x:c r="I29" s="5" t="str">
        <x:v>Remote coordination difficulties, unsuitable recovery procedures and untested recovery arrangements impede restoration.</x:v>
      </x:c>
      <x:c r="J29" s="5" t="str">
        <x:v>Following a service disruption, essential services cannot be restored within the required timeframe.</x:v>
      </x:c>
      <x:c r="K29" s="5" t="str">
        <x:v>Prolonged outages and backlogs threaten claims handling, premium collection and customer support, increasing costs and customer harm. This assesses recovery performance following a disruption, not the initial failure itself.</x:v>
      </x:c>
      <x:c r="L29" s="5" t="str">
        <x:v>Staff coordination and recovery</x:v>
      </x:c>
      <x:c r="M29" s="5" t="str">
        <x:v>2020-04-01 to 2020-06-30</x:v>
      </x:c>
      <x:c r="N29" s="9" t="n">
        <x:v>3</x:v>
      </x:c>
      <x:c r="O29" s="9" t="n">
        <x:v>4</x:v>
      </x:c>
      <x:c r="P29" s="11" t="str">
        <x:f>IF(AE29="Consolidated","Consolidated",IF(OR(N29="",O29=""),"Not assessed",INDEX('Assessment Guide'!$B$5:$F$9,N29,O29)))</x:f>
        <x:v>High</x:v>
      </x:c>
      <x:c r="Q29" s="5" t="str">
        <x:v>Possible: both a disruption and unsuccessful or delayed recovery must occur within the horizon. Remote coordination and untested arrangements support concern, but no recovery performance history is supplied.</x:v>
      </x:c>
      <x:c r="R29" s="5" t="str">
        <x:v>Proposed Major, increased from Moderate: the consolidated event includes failure of recovery procedures and tests, potentially extending disruption across essential services. The required recovery timeframe still needs definition.</x:v>
      </x:c>
      <x:c r="S29" s="5" t="str">
        <x:v>Case: third-party cloud backup, hosting and security advice. Assumption from Sam: firewalls, email scanning and minimum-privilege access operate as basic office safeguards.</x:v>
      </x:c>
      <x:c r="T29" s="5" t="str">
        <x:v>Mixed evidence: case arrangements plus explicit team assumptions; see Evidence and experience.</x:v>
      </x:c>
      <x:c r="U29" s="5" t="str">
        <x:v>Basic safeguards may reduce exposure. Their remote-work coverage, integrity protection, monitoring and restoration performance are unverified.</x:v>
      </x:c>
      <x:c r="V29" s="5" t="str">
        <x:v>Confirm recovery procedures, coordination roles, tested restoration of cloud backups, recovery objectives and evidence of exercises. R-024 recovery-testing and R-027 procedure gaps are incorporated here.</x:v>
      </x:c>
      <x:c r="W29" s="5" t="str">
        <x:v>Not tolerable</x:v>
      </x:c>
      <x:c r="X29" s="5" t="str">
        <x:v>Not tolerable on the assumed inability to restore essential services within required timeframes. Cloud backup alone does not prove recoverability; test and procedure weaknesses from consolidated records remain relevant.</x:v>
      </x:c>
      <x:c r="Y29" s="5" t="str">
        <x:v>Controllability is substantial for the identified internal cause, subject to available resources and verified implementation.</x:v>
      </x:c>
      <x:c r="Z29" s="5" t="str">
        <x:v>Sustain staff coordination and recovery as part of meeting essential service and policyholder obligations. Business necessity does not itself make the exposure tolerable.</x:v>
      </x:c>
      <x:c r="AA29" s="5" t="str">
        <x:v>Consequences may extend beyond three months; reassess during weekly reviews. Initial likelihood horizon ends 2020-06-30; later information belongs to dated reviews.</x:v>
      </x:c>
      <x:c r="AB29" s="5" t="str">
        <x:v>Network Manager</x:v>
      </x:c>
      <x:c r="AC29" s="5" t="str">
        <x:v>Cause, event and impact separated; wording aligned to pandemic onset. Source evidence and controls remain unverified. Proposed scores 4/3 to 3/3; see assessment reasoning. Decisions applied: D04; D11; D12–D14. See Decision Log for specific before/after values.</x:v>
      </x:c>
      <x:c r="AD29" s="5"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29" s="5" t="str">
        <x:v>Active</x:v>
      </x:c>
      <x:c r="AF29" s="5" t="str"/>
      <x:c r="AG29" s="39" t="d">
        <x:v>2020-04-01T00:00:00.000Z</x:v>
      </x:c>
      <x:c r="AH29" s="39" t="d">
        <x:v>2020-06-30T00:00:00.000Z</x:v>
      </x:c>
      <x:c r="AI29" s="5" t="str">
        <x:v>Proposed accountable role; individual to be designated</x:v>
      </x:c>
      <x:c r="AJ29" s="5" t="str">
        <x:v>D04; D11; D12; D13; D14; D18; D15</x:v>
      </x:c>
      <x:c r="AK29" s="5" t="str">
        <x:v>D15 agreed: classification and magnitude approved; likelihood 3 provisional. D18 tolerability agreed on stated assumptions.</x:v>
      </x:c>
    </x:row>
    <x:row r="30" ht="180" customHeight="1">
      <x:c r="A30" s="8" t="str">
        <x:v>R-026</x:v>
      </x:c>
      <x:c r="B30" s="8" t="str">
        <x:v>I4-S-01</x:v>
      </x:c>
      <x:c r="C30" s="8" t="str">
        <x:v>A critical supplier reduces or ends service</x:v>
      </x:c>
      <x:c r="D30" s="8" t="str">
        <x:v>Infrastructure</x:v>
      </x:c>
      <x:c r="E30" s="8" t="str">
        <x:v>2.4</x:v>
      </x:c>
      <x:c r="F30" s="8" t="str">
        <x:v>S</x:v>
      </x:c>
      <x:c r="G30" s="8" t="str">
        <x:v>Provisional</x:v>
      </x:c>
      <x:c r="H30" s="8" t="str">
        <x:v>Revised draft for review</x:v>
      </x:c>
      <x:c r="I30" s="8" t="str">
        <x:v>Supplier staffing, operating restrictions or financial pressure reduce capacity.</x:v>
      </x:c>
      <x:c r="J30" s="8" t="str">
        <x:v>A provider fails to deliver an essential contracted service.</x:v>
      </x:c>
      <x:c r="K30" s="8" t="str">
        <x:v>Operations may be interrupted, replacement costs incurred and confidential records or communications left unmanaged.</x:v>
      </x:c>
      <x:c r="L30" s="8" t="str">
        <x:v>Critical suppliers</x:v>
      </x:c>
      <x:c r="M30" s="8" t="str">
        <x:v>2020-04-01 to 2020-06-30</x:v>
      </x:c>
      <x:c r="N30" s="9" t="n">
        <x:v>3</x:v>
      </x:c>
      <x:c r="O30" s="9" t="n">
        <x:v>4</x:v>
      </x:c>
      <x:c r="P30" s="10" t="str">
        <x:f>IF(AE30="Consolidated","Consolidated",IF(OR(N30="",O30=""),"Not assessed",INDEX('Assessment Guide'!$B$5:$F$9,N30,O30)))</x:f>
        <x:v>High</x:v>
      </x:c>
      <x:c r="Q30" s="8" t="str">
        <x:v>Pandemic pressure makes supplier disruption plausible; individual provider resilience is unknown.</x:v>
      </x:c>
      <x:c r="R30" s="8" t="str">
        <x:v>Major assumes an essential service with no ready alternative. Noncritical delays would be lower.</x:v>
      </x:c>
      <x:c r="S30" s="8" t="str">
        <x:v>Case: third-party service relationships, including backup, hosting, security advice and legal services. No supplier continuity assurance is specified.</x:v>
      </x:c>
      <x:c r="T30" s="8" t="str">
        <x:v>Mixed evidence: case arrangements plus explicit team assumptions; see Evidence and experience.</x:v>
      </x:c>
      <x:c r="U30" s="8" t="str">
        <x:v>Access to providers is not proof of resilience. Contracts, alternative capacity and service continuity need assessment.</x:v>
      </x:c>
      <x:c r="V30" s="8" t="str">
        <x:v>Continuity commitments, alternatives, service monitoring and handover arrangements are unverified.</x:v>
      </x:c>
      <x:c r="W30" s="8" t="str">
        <x:v>Not tolerable</x:v>
      </x:c>
      <x:c r="X30" s="8" t="str">
        <x:v>Not tolerable for an essential supplier failure with no workable substitute on the assessed assumption. Routine noncritical supplier delays would warrant a different decision.</x:v>
      </x:c>
      <x:c r="Y30" s="8" t="str">
        <x:v>Controllability is partial: internal preparation and decisions can reduce exposure, while external conditions may remain beyond our control.</x:v>
      </x:c>
      <x:c r="Z30" s="8" t="str">
        <x:v>Sustain critical suppliers as part of meeting essential service and policyholder obligations. Business necessity does not itself make the exposure tolerable.</x:v>
      </x:c>
      <x:c r="AA30" s="8" t="str">
        <x:v>Consequences may extend beyond three months; reassess during weekly reviews. Initial likelihood horizon ends 2020-06-30; later information belongs to dated reviews.</x:v>
      </x:c>
      <x:c r="AB30" s="8" t="str">
        <x:v>Designated Executive Director</x:v>
      </x:c>
      <x:c r="AC30" s="8" t="str">
        <x:v>Cause, event and impact separated; wording aligned to pandemic onset. Source evidence and controls remain unverified. Decisions applied: D11; D12–D14. See Decision Log for specific before/after values.</x:v>
      </x:c>
      <x:c r="AD30" s="8"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30" s="5" t="str">
        <x:v>Active</x:v>
      </x:c>
      <x:c r="AF30" s="5" t="str"/>
      <x:c r="AG30" s="39" t="d">
        <x:v>2020-04-01T00:00:00.000Z</x:v>
      </x:c>
      <x:c r="AH30" s="39" t="d">
        <x:v>2020-06-30T00:00:00.000Z</x:v>
      </x:c>
      <x:c r="AI30" s="5" t="str">
        <x:v>Proposed accountable role; individual to be designated</x:v>
      </x:c>
      <x:c r="AJ30" s="5" t="str">
        <x:v>D11; D12; D13; D14; D18</x:v>
      </x:c>
      <x:c r="AK30" s="5" t="str">
        <x:v>D18 project conclusion agreed; provisional assessment subject to stated controls, evidence and assumptions.</x:v>
      </x:c>
    </x:row>
    <x:row r="31" ht="180" customHeight="1">
      <x:c r="A31" s="5" t="str">
        <x:v>R-027</x:v>
      </x:c>
      <x:c r="B31" s="5" t="str">
        <x:v>I4-G-01</x:v>
      </x:c>
      <x:c r="C31" s="5" t="str">
        <x:v>Recovery cannot be coordinated during remote work</x:v>
      </x:c>
      <x:c r="D31" s="5" t="str">
        <x:v>Infrastructure</x:v>
      </x:c>
      <x:c r="E31" s="5" t="str">
        <x:v>2.4</x:v>
      </x:c>
      <x:c r="F31" s="5" t="str">
        <x:v>G</x:v>
      </x:c>
      <x:c r="G31" s="5" t="str">
        <x:v>Approved</x:v>
      </x:c>
      <x:c r="H31" s="5" t="str">
        <x:v>Consolidated</x:v>
      </x:c>
      <x:c r="I31" s="5" t="str">
        <x:v>Crisis and recovery procedures are missing, unsuitable or not implemented for remote operations.</x:v>
      </x:c>
      <x:c r="J31" s="5" t="str">
        <x:v>The organization cannot coordinate an effective response to a significant disruption.</x:v>
      </x:c>
      <x:c r="K31" s="5" t="str">
        <x:v>Recovery is prolonged across essential services, threatening obligations and customer confidence.</x:v>
      </x:c>
      <x:c r="L31" s="5" t="str">
        <x:v>Recovery governance and dependencies</x:v>
      </x:c>
      <x:c r="M31" s="5" t="str">
        <x:v>2020-04-01 to 2020-06-30</x:v>
      </x:c>
      <x:c r="N31" s="9"/>
      <x:c r="O31" s="9"/>
      <x:c r="P31" s="11" t="str">
        <x:f>IF(AE31="Consolidated","Consolidated",IF(OR(N31="",O31=""),"Not assessed",INDEX('Assessment Guide'!$B$5:$F$9,N31,O31)))</x:f>
        <x:v>Consolidated</x:v>
      </x:c>
      <x:c r="Q31" s="5" t="str">
        <x:v>A disruption and ineffective coordination must coincide; a missing procedure is not automatically a likely event.</x:v>
      </x:c>
      <x:c r="R31" s="5" t="str">
        <x:v>Major assumes a substantial delay in recovery; avoid counting the same outage independently several times.</x:v>
      </x:c>
      <x:c r="S31" s="5" t="str">
        <x:v>Case: third-party cloud backup, hosting and security advice. Assumption from Sam: firewalls, email scanning and minimum-privilege access operate as basic office safeguards.</x:v>
      </x:c>
      <x:c r="T31" s="5" t="str">
        <x:v>Mixed evidence: case arrangements plus explicit team assumptions; see Evidence and experience.</x:v>
      </x:c>
      <x:c r="U31" s="5" t="str">
        <x:v>Basic safeguards may reduce exposure. Their remote-work coverage, integrity protection, monitoring and restoration performance are unverified.</x:v>
      </x:c>
      <x:c r="V31" s="5" t="str">
        <x:v>Remote recovery procedures, exercises, authority and fallback arrangements need verification.</x:v>
      </x:c>
      <x:c r="W31" s="5" t="str">
        <x:v>Not assessed separately</x:v>
      </x:c>
      <x:c r="X31" s="5" t="str">
        <x:v>Consolidated, not resolved. Current assessment is held in R-025. Original content and ratings remain in source/history sheets.</x:v>
      </x:c>
      <x:c r="Y31" s="5" t="str">
        <x:v>Controllability is substantial for the identified internal cause, subject to available resources and verified implementation.</x:v>
      </x:c>
      <x:c r="Z31" s="5" t="str">
        <x:v>Sustain recovery governance and dependencies as part of meeting essential service and policyholder obligations. Business necessity does not itself make the exposure tolerable.</x:v>
      </x:c>
      <x:c r="AA31" s="5" t="str">
        <x:v>Consequences may extend beyond three months; reassess during weekly reviews. Initial likelihood horizon ends 2020-06-30; later information belongs to dated reviews.</x:v>
      </x:c>
      <x:c r="AB31" s="5" t="str">
        <x:v>Network Manager</x:v>
      </x:c>
      <x:c r="AC31" s="5" t="str">
        <x:v>Cause, event and impact separated; wording aligned to pandemic onset. Source evidence and controls remain unverified. Proposed code I4-T-01 to I4-G-01 based on primary cause or index placement. Proposed scores 4/4 to 3/4; see assessment reasoning. D01: Chris approved the Governance and Processes classification on 2026-10-18 (project review). Scores and other assessments remain provisional. Decisions applied: D01; D04; D12–D14. See Decision Log for specific before/after values.</x:v>
      </x:c>
      <x:c r="AD31" s="5"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31" s="5" t="str">
        <x:v>Consolidated</x:v>
      </x:c>
      <x:c r="AF31" s="5" t="str">
        <x:v>R-025</x:v>
      </x:c>
      <x:c r="AG31" s="39" t="d">
        <x:v>2020-04-01T00:00:00.000Z</x:v>
      </x:c>
      <x:c r="AH31" s="39" t="d">
        <x:v>2020-06-30T00:00:00.000Z</x:v>
      </x:c>
      <x:c r="AI31" s="5" t="str">
        <x:v>Proposed accountable role; individual to be designated</x:v>
      </x:c>
      <x:c r="AJ31" s="5" t="str">
        <x:v>D01; D04; D12; D13; D14</x:v>
      </x:c>
      <x:c r="AK31" s="5" t="str">
        <x:v>Consolidation agreed</x:v>
      </x:c>
    </x:row>
    <x:row r="32" ht="180" customHeight="1">
      <x:c r="A32" s="8" t="str">
        <x:v>R-028</x:v>
      </x:c>
      <x:c r="B32" s="8" t="str">
        <x:v>R1-P-01</x:v>
      </x:c>
      <x:c r="C32" s="8" t="str">
        <x:v>Claims and enquiries exceed response capacity</x:v>
      </x:c>
      <x:c r="D32" s="8" t="str">
        <x:v>Reputation</x:v>
      </x:c>
      <x:c r="E32" s="8" t="str">
        <x:v>3.1</x:v>
      </x:c>
      <x:c r="F32" s="8" t="str">
        <x:v>P</x:v>
      </x:c>
      <x:c r="G32" s="8" t="str">
        <x:v>Provisional</x:v>
      </x:c>
      <x:c r="H32" s="8" t="str">
        <x:v>Revised draft for review</x:v>
      </x:c>
      <x:c r="I32" s="8" t="str">
        <x:v>A surge in claims, related enquiries and coverage disputes exceeds planned processing capacity.</x:v>
      </x:c>
      <x:c r="J32" s="8" t="str">
        <x:v>Claims-related workloads exceed processing capacity even when planned staffing is available.</x:v>
      </x:c>
      <x:c r="K32" s="8" t="str">
        <x:v>Claims handling and related responses are delayed, increasing backlogs, complaints and customer harm. Separate from reduced staffing at normal demand in R-035.</x:v>
      </x:c>
      <x:c r="L32" s="8" t="str">
        <x:v>Claims capacity and customer trust</x:v>
      </x:c>
      <x:c r="M32" s="8" t="str">
        <x:v>2020-04-01 to 2020-06-30</x:v>
      </x:c>
      <x:c r="N32" s="9" t="n">
        <x:v>4</x:v>
      </x:c>
      <x:c r="O32" s="9" t="n">
        <x:v>3</x:v>
      </x:c>
      <x:c r="P32" s="10" t="str">
        <x:f>IF(AE32="Consolidated","Consolidated",IF(OR(N32="",O32=""),"Not assessed",INDEX('Assessment Guide'!$B$5:$F$9,N32,O32)))</x:f>
        <x:v>High</x:v>
      </x:c>
      <x:c r="Q32" s="8" t="str">
        <x:v>A demand surge is likely, but actual volumes and capacity are not established.</x:v>
      </x:c>
      <x:c r="R32" s="8" t="str">
        <x:v>Moderate assumes delays can be managed without sustained failure of obligations; severe vulnerable-customer harm would be higher.</x:v>
      </x:c>
      <x:c r="S32" s="8" t="str">
        <x:v>Case: customer-service roles and digital service channels. Assumption from Sam: a customer incentive fund is available.</x:v>
      </x:c>
      <x:c r="T32" s="8" t="str">
        <x:v>Mixed evidence: case arrangements plus explicit team assumptions; see Evidence and experience.</x:v>
      </x:c>
      <x:c r="U32" s="8" t="str">
        <x:v>Incentives can assist recovery after a failure but do not prevent workload or staffing disruption.</x:v>
      </x:c>
      <x:c r="V32" s="8" t="str">
        <x:v>Baseline response times, workloads, service limits and contingency staffing are unverified.</x:v>
      </x:c>
      <x:c r="W32" s="8" t="str">
        <x:v>Not tolerable</x:v>
      </x:c>
      <x:c r="X32" s="8" t="str">
        <x:v>Not tolerable if surge demand produces material claims delays beyond the organization’s accepted service position. A customer incentive fund does not address processing capacity. Exact limits remain to be defined.</x:v>
      </x:c>
      <x:c r="Y32" s="8" t="str">
        <x:v>Controllability is substantial for the identified internal cause, subject to available resources and verified implementation.</x:v>
      </x:c>
      <x:c r="Z32" s="8" t="str">
        <x:v>Sustain claims capacity and customer trust as part of meeting essential service and policyholder obligations. Business necessity does not itself make the exposure tolerable.</x:v>
      </x:c>
      <x:c r="AA32" s="8" t="str">
        <x:v>Consequences may extend beyond three months; reassess during weekly reviews. Initial likelihood horizon ends 2020-06-30; later information belongs to dated reviews.</x:v>
      </x:c>
      <x:c r="AB32" s="8" t="str">
        <x:v>Claims Manager</x:v>
      </x:c>
      <x:c r="AC32" s="8" t="str">
        <x:v>Cause, event and impact separated; wording aligned to pandemic onset. Source evidence and controls remain unverified. Decisions applied: D05; D12–D14. See Decision Log for specific before/after values.</x:v>
      </x:c>
      <x:c r="AD32" s="8" t="str">
        <x:v>Business outline(1).pdf: The case confirms a small workforce and functional roles (pp. 6–7), but no trained backup or staff-continuity arrangements.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32" s="5" t="str">
        <x:v>Active</x:v>
      </x:c>
      <x:c r="AF32" s="5" t="str"/>
      <x:c r="AG32" s="39" t="d">
        <x:v>2020-04-01T00:00:00.000Z</x:v>
      </x:c>
      <x:c r="AH32" s="39" t="d">
        <x:v>2020-06-30T00:00:00.000Z</x:v>
      </x:c>
      <x:c r="AI32" s="5" t="str">
        <x:v>Proposed accountable role; individual to be designated</x:v>
      </x:c>
      <x:c r="AJ32" s="5" t="str">
        <x:v>D05; D12; D13; D14; D18</x:v>
      </x:c>
      <x:c r="AK32" s="5" t="str">
        <x:v>D18 project conclusion agreed; provisional assessment subject to stated controls, evidence and assumptions.</x:v>
      </x:c>
    </x:row>
    <x:row r="33" ht="180" customHeight="1">
      <x:c r="A33" s="5" t="str">
        <x:v>R-029</x:v>
      </x:c>
      <x:c r="B33" s="5" t="str">
        <x:v>R1-C-01</x:v>
      </x:c>
      <x:c r="C33" s="5" t="str">
        <x:v>Customers in difficulty receive insensitive treatment</x:v>
      </x:c>
      <x:c r="D33" s="5" t="str">
        <x:v>Reputation</x:v>
      </x:c>
      <x:c r="E33" s="5" t="str">
        <x:v>3.1</x:v>
      </x:c>
      <x:c r="F33" s="5" t="str">
        <x:v>C</x:v>
      </x:c>
      <x:c r="G33" s="5" t="str">
        <x:v>Provisional</x:v>
      </x:c>
      <x:c r="H33" s="5" t="str">
        <x:v>Revised draft for review</x:v>
      </x:c>
      <x:c r="I33" s="5" t="str">
        <x:v>Pressure, poor judgment or inappropriate behaviour affects customer interactions.</x:v>
      </x:c>
      <x:c r="J33" s="5" t="str">
        <x:v>Employees treat financially vulnerable customers insensitively.</x:v>
      </x:c>
      <x:c r="K33" s="5" t="str">
        <x:v>Complaints and loss of trust may increase, reducing retention and requiring remediation.</x:v>
      </x:c>
      <x:c r="L33" s="5" t="str">
        <x:v>Fair customer treatment</x:v>
      </x:c>
      <x:c r="M33" s="5" t="str">
        <x:v>2020-04-01 to 2020-06-30</x:v>
      </x:c>
      <x:c r="N33" s="9" t="n">
        <x:v>3</x:v>
      </x:c>
      <x:c r="O33" s="9" t="n">
        <x:v>3</x:v>
      </x:c>
      <x:c r="P33" s="11" t="str">
        <x:f>IF(AE33="Consolidated","Consolidated",IF(OR(N33="",O33=""),"Not assessed",INDEX('Assessment Guide'!$B$5:$F$9,N33,O33)))</x:f>
        <x:v>Moderate</x:v>
      </x:c>
      <x:c r="Q33" s="5" t="str">
        <x:v>Stress makes inappropriate interactions plausible, but no conduct history establishes likely occurrence.</x:v>
      </x:c>
      <x:c r="R33" s="5" t="str">
        <x:v>Moderate assumes repeated or meaningful customer impacts, not isolated discourtesy without harm.</x:v>
      </x:c>
      <x:c r="S33" s="5" t="str">
        <x:v>Case: communication roles and legal services. Assumption from Sam: social-media crisis templates are available.</x:v>
      </x:c>
      <x:c r="T33" s="5" t="str">
        <x:v>Mixed evidence: case arrangements plus explicit team assumptions; see Evidence and experience.</x:v>
      </x:c>
      <x:c r="U33" s="5" t="str">
        <x:v>Templates and advice may support communication. Accuracy, timely updates and checks across channels are not demonstrated.</x:v>
      </x:c>
      <x:c r="V33" s="5" t="str">
        <x:v>Communication guidance, training, complaint review and supervisory checks need confirmation.</x:v>
      </x:c>
      <x:c r="W33" s="5" t="str">
        <x:v>Not tolerable</x:v>
      </x:c>
      <x:c r="X33" s="5" t="str">
        <x:v>Not tolerable for avoidable insensitive treatment causing meaningful harm to vulnerable customers. Workload pressure does not justify conduct inconsistent with fair treatment.</x:v>
      </x:c>
      <x:c r="Y33" s="5" t="str">
        <x:v>Controllability is substantial for the identified internal cause, subject to available resources and verified implementation.</x:v>
      </x:c>
      <x:c r="Z33" s="5" t="str">
        <x:v>Sustain fair customer treatment as part of meeting essential service and policyholder obligations. Business necessity does not itself make the exposure tolerable.</x:v>
      </x:c>
      <x:c r="AA33" s="5" t="str">
        <x:v>Consequences may extend beyond three months; reassess during weekly reviews. Initial likelihood horizon ends 2020-06-30; later information belongs to dated reviews.</x:v>
      </x:c>
      <x:c r="AB33" s="5" t="str">
        <x:v>Customer Service Manager</x:v>
      </x:c>
      <x:c r="AC33" s="5" t="str">
        <x:v>Cause, event and impact separated; wording aligned to pandemic onset. Source evidence and controls remain unverified. Decisions applied: D11; D12–D14. See Decision Log for specific before/after values.</x:v>
      </x:c>
      <x:c r="AD33" s="5" t="str">
        <x:v>Business outline(1).pdf: The case confirms a Marketing Manager, customer-service roles and legal services (pp. 6–7), but not communication templates or approval checks. Team source: Sam’s Existing Controls.docx; original descriptions and examples are preserved by Record ID in Source Records. No internal incident history is verified. Only evidence available by 2020-04-01 can support the initial assessment.</x:v>
      </x:c>
      <x:c r="AE33" s="5" t="str">
        <x:v>Active</x:v>
      </x:c>
      <x:c r="AF33" s="5" t="str"/>
      <x:c r="AG33" s="39" t="d">
        <x:v>2020-04-01T00:00:00.000Z</x:v>
      </x:c>
      <x:c r="AH33" s="39" t="d">
        <x:v>2020-06-30T00:00:00.000Z</x:v>
      </x:c>
      <x:c r="AI33" s="5" t="str">
        <x:v>Proposed accountable role; individual to be designated</x:v>
      </x:c>
      <x:c r="AJ33" s="5" t="str">
        <x:v>D11; D12; D13; D14; D18</x:v>
      </x:c>
      <x:c r="AK33" s="5" t="str">
        <x:v>D18 project conclusion agreed; provisional assessment subject to stated controls, evidence and assumptions.</x:v>
      </x:c>
    </x:row>
    <x:row r="34" ht="180" customHeight="1">
      <x:c r="A34" s="8" t="str">
        <x:v>R-030</x:v>
      </x:c>
      <x:c r="B34" s="8" t="str">
        <x:v>R2-G-01</x:v>
      </x:c>
      <x:c r="C34" s="8" t="str">
        <x:v>Coverage misinformation remains uncorrected</x:v>
      </x:c>
      <x:c r="D34" s="8" t="str">
        <x:v>Reputation</x:v>
      </x:c>
      <x:c r="E34" s="8" t="str">
        <x:v>3.2</x:v>
      </x:c>
      <x:c r="F34" s="8" t="str">
        <x:v>G</x:v>
      </x:c>
      <x:c r="G34" s="8" t="str">
        <x:v>Approved</x:v>
      </x:c>
      <x:c r="H34" s="8" t="str">
        <x:v>Revised draft for review</x:v>
      </x:c>
      <x:c r="I34" s="8" t="str">
        <x:v>Information verification and communication coordination are inadequate.</x:v>
      </x:c>
      <x:c r="J34" s="8" t="str">
        <x:v>Customers receive or rely on inaccurate or uncorrected information about their insurance coverage.</x:v>
      </x:c>
      <x:c r="K34" s="8" t="str">
        <x:v>Customers may misunderstand their protection, make poorly informed decisions or dispute claims outcomes, damaging trust and increasing remediation costs.</x:v>
      </x:c>
      <x:c r="L34" s="8" t="str">
        <x:v>Accurate information and trust</x:v>
      </x:c>
      <x:c r="M34" s="8" t="str">
        <x:v>2020-04-01 to 2020-06-30</x:v>
      </x:c>
      <x:c r="N34" s="9" t="n">
        <x:v>3</x:v>
      </x:c>
      <x:c r="O34" s="9" t="n">
        <x:v>4</x:v>
      </x:c>
      <x:c r="P34" s="10" t="str">
        <x:f>IF(AE34="Consolidated","Consolidated",IF(OR(N34="",O34=""),"Not assessed",INDEX('Assessment Guide'!$B$5:$F$9,N34,O34)))</x:f>
        <x:v>High</x:v>
      </x:c>
      <x:c r="Q34" s="8" t="str">
        <x:v>Rapid changes and misinformation make confusion plausible; deliberate deception is not assumed.</x:v>
      </x:c>
      <x:c r="R34" s="8" t="str">
        <x:v>Major assumes material misinformation affecting many customers or important coverage decisions.</x:v>
      </x:c>
      <x:c r="S34" s="8" t="str">
        <x:v>Case: communication roles and legal services. Assumption from Sam: social-media crisis templates are available.</x:v>
      </x:c>
      <x:c r="T34" s="8" t="str">
        <x:v>Mixed evidence: case arrangements plus explicit team assumptions; see Evidence and experience.</x:v>
      </x:c>
      <x:c r="U34" s="8" t="str">
        <x:v>Templates and advice may support communication. Accuracy, timely updates and checks across channels are not demonstrated.</x:v>
      </x:c>
      <x:c r="V34" s="8" t="str">
        <x:v>Crisis templates are reported, but accuracy checks, ownership and misinformation procedures are unverified.</x:v>
      </x:c>
      <x:c r="W34" s="8" t="str">
        <x:v>Not tolerable</x:v>
      </x:c>
      <x:c r="X34" s="8" t="str">
        <x:v>Not tolerable for material coverage misinformation leading customers to make harmful decisions. Templates alone do not demonstrate accuracy and effective correction.</x:v>
      </x:c>
      <x:c r="Y34" s="8" t="str">
        <x:v>Controllability is substantial for the identified internal cause, subject to available resources and verified implementation.</x:v>
      </x:c>
      <x:c r="Z34" s="8" t="str">
        <x:v>Sustain accurate information and trust as part of meeting essential service and policyholder obligations. Business necessity does not itself make the exposure tolerable.</x:v>
      </x:c>
      <x:c r="AA34" s="8" t="str">
        <x:v>Consequences may extend beyond three months; reassess during weekly reviews. Initial likelihood horizon ends 2020-06-30; later information belongs to dated reviews.</x:v>
      </x:c>
      <x:c r="AB34" s="8" t="str">
        <x:v>Underwriting Manager</x:v>
      </x:c>
      <x:c r="AC34" s="8" t="str">
        <x:v>Cause, event and impact separated; wording aligned to pandemic onset. Source evidence and controls remain unverified. Proposed code R2-C-01 to R2-G-01 based on primary cause or index placement. D01: Chris approved the Governance and Processes classification on 2026-10-18 (project review). Scores and other assessments remain provisional. Decisions applied: D01; D06; D12–D14. See Decision Log for specific before/after values.</x:v>
      </x:c>
      <x:c r="AD34" s="8" t="str">
        <x:v>Business outline(1).pdf: The case confirms a Marketing Manager, customer-service roles and legal services (pp. 6–7), but not communication templates or approval checks. Team source: Sam’s Existing Controls.docx; original descriptions and examples are preserved by Record ID in Source Records. No internal incident history is verified. Only evidence available by 2020-04-01 can support the initial assessment.</x:v>
      </x:c>
      <x:c r="AE34" s="5" t="str">
        <x:v>Active</x:v>
      </x:c>
      <x:c r="AF34" s="5" t="str"/>
      <x:c r="AG34" s="39" t="d">
        <x:v>2020-04-01T00:00:00.000Z</x:v>
      </x:c>
      <x:c r="AH34" s="39" t="d">
        <x:v>2020-06-30T00:00:00.000Z</x:v>
      </x:c>
      <x:c r="AI34" s="5" t="str">
        <x:v>Proposed accountable role; individual to be designated</x:v>
      </x:c>
      <x:c r="AJ34" s="5" t="str">
        <x:v>D01; D06; D12; D13; D14; D18</x:v>
      </x:c>
      <x:c r="AK34" s="5" t="str">
        <x:v>D18 project conclusion agreed; provisional assessment subject to stated controls, evidence and assumptions.</x:v>
      </x:c>
    </x:row>
    <x:row r="35" ht="180" customHeight="1">
      <x:c r="A35" s="5" t="str">
        <x:v>R-031</x:v>
      </x:c>
      <x:c r="B35" s="5" t="str">
        <x:v>R2-P-01</x:v>
      </x:c>
      <x:c r="C35" s="5" t="str">
        <x:v>Remote-work stress impairs employee wellbeing</x:v>
      </x:c>
      <x:c r="D35" s="5" t="str">
        <x:v>Reputation</x:v>
      </x:c>
      <x:c r="E35" s="5" t="str">
        <x:v>3.2</x:v>
      </x:c>
      <x:c r="F35" s="5" t="str">
        <x:v>P</x:v>
      </x:c>
      <x:c r="G35" s="5" t="str">
        <x:v>Provisional</x:v>
      </x:c>
      <x:c r="H35" s="5" t="str">
        <x:v>Revised draft for review</x:v>
      </x:c>
      <x:c r="I35" s="5" t="str">
        <x:v>Isolation, changed routines and inadequate support increase sustained stress.</x:v>
      </x:c>
      <x:c r="J35" s="5" t="str">
        <x:v>Employees experience wellbeing difficulties that impair their ability to work safely and effectively.</x:v>
      </x:c>
      <x:c r="K35" s="5" t="str">
        <x:v>Absence, reduced performance and service delays may occur alongside harm to employees.</x:v>
      </x:c>
      <x:c r="L35" s="5" t="str">
        <x:v>Employee wellbeing and staffing</x:v>
      </x:c>
      <x:c r="M35" s="5" t="str">
        <x:v>2020-04-01 to 2020-06-30</x:v>
      </x:c>
      <x:c r="N35" s="9" t="n">
        <x:v>4</x:v>
      </x:c>
      <x:c r="O35" s="9" t="n">
        <x:v>3</x:v>
      </x:c>
      <x:c r="P35" s="11" t="str">
        <x:f>IF(AE35="Consolidated","Consolidated",IF(OR(N35="",O35=""),"Not assessed",INDEX('Assessment Guide'!$B$5:$F$9,N35,O35)))</x:f>
        <x:v>High</x:v>
      </x:c>
      <x:c r="Q35" s="5" t="str">
        <x:v>A sudden transition and isolation make wellbeing difficulties likely, with individual effects uncertain.</x:v>
      </x:c>
      <x:c r="R35" s="5" t="str">
        <x:v>Moderate assumes material but manageable effects; serious individual harm requires separate consideration.</x:v>
      </x:c>
      <x:c r="S35" s="5" t="str">
        <x:v>No staff-continuity or wellbeing control is specified in the case. Assessment assumption: Sam’s reported preparation gaps apply at the assessment date.</x:v>
      </x:c>
      <x:c r="T35" s="5" t="str">
        <x:v>Mixed evidence: case arrangements plus explicit team assumptions; see Evidence and experience.</x:v>
      </x:c>
      <x:c r="U35" s="5" t="str">
        <x:v>Existing staffing is capacity, not a tested continuity control. Backup coverage and support effectiveness remain unverified.</x:v>
      </x:c>
      <x:c r="V35" s="5" t="str">
        <x:v>Support availability, workload checks and access to assistance are not evidenced.</x:v>
      </x:c>
      <x:c r="W35" s="5" t="str">
        <x:v>Not tolerable</x:v>
      </x:c>
      <x:c r="X35" s="5" t="str">
        <x:v>Not tolerable on the assumption that material employee wellbeing harms persist without adequate support. The need for remote work does not justify leaving this controllable exposure unmanaged.</x:v>
      </x:c>
      <x:c r="Y35" s="5" t="str">
        <x:v>Controllability is substantial for the identified internal cause, subject to available resources and verified implementation.</x:v>
      </x:c>
      <x:c r="Z35" s="5" t="str">
        <x:v>Sustain employee wellbeing and staffing as part of meeting essential service and policyholder obligations. Business necessity does not itself make the exposure tolerable.</x:v>
      </x:c>
      <x:c r="AA35" s="5" t="str">
        <x:v>Consequences may extend beyond three months; reassess during weekly reviews. Initial likelihood horizon ends 2020-06-30; later information belongs to dated reviews.</x:v>
      </x:c>
      <x:c r="AB35" s="5" t="str">
        <x:v>Designated HR lead</x:v>
      </x:c>
      <x:c r="AC35" s="5" t="str">
        <x:v>Cause, event and impact separated; wording aligned to pandemic onset. Source evidence and controls remain unverified. Decisions applied: D11; D12–D14. See Decision Log for specific before/after values.</x:v>
      </x:c>
      <x:c r="AD35" s="5"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AE35" s="5" t="str">
        <x:v>Active</x:v>
      </x:c>
      <x:c r="AF35" s="5" t="str"/>
      <x:c r="AG35" s="39" t="d">
        <x:v>2020-04-01T00:00:00.000Z</x:v>
      </x:c>
      <x:c r="AH35" s="39" t="d">
        <x:v>2020-06-30T00:00:00.000Z</x:v>
      </x:c>
      <x:c r="AI35" s="5" t="str">
        <x:v>Proposed accountable role; individual to be designated</x:v>
      </x:c>
      <x:c r="AJ35" s="5" t="str">
        <x:v>D11; D12; D13; D14; D18</x:v>
      </x:c>
      <x:c r="AK35" s="5" t="str">
        <x:v>D18 project conclusion agreed; provisional assessment subject to stated controls, evidence and assumptions.</x:v>
      </x:c>
    </x:row>
    <x:row r="36" ht="180" customHeight="1">
      <x:c r="A36" s="8" t="str">
        <x:v>R-032</x:v>
      </x:c>
      <x:c r="B36" s="8" t="str">
        <x:v>R3-P-01</x:v>
      </x:c>
      <x:c r="C36" s="8" t="str">
        <x:v>Workload pressure causes processing and record errors</x:v>
      </x:c>
      <x:c r="D36" s="8" t="str">
        <x:v>Reputation</x:v>
      </x:c>
      <x:c r="E36" s="8" t="str">
        <x:v>3.3</x:v>
      </x:c>
      <x:c r="F36" s="8" t="str">
        <x:v>P</x:v>
      </x:c>
      <x:c r="G36" s="8" t="str">
        <x:v>Provisional</x:v>
      </x:c>
      <x:c r="H36" s="8" t="str">
        <x:v>Revised draft for review</x:v>
      </x:c>
      <x:c r="I36" s="8" t="str">
        <x:v>High workloads, unfamiliar tasks and fatigue increase mistakes.</x:v>
      </x:c>
      <x:c r="J36" s="8" t="str">
        <x:v>Claims or customer records are processed incorrectly or incompletely.</x:v>
      </x:c>
      <x:c r="K36" s="8" t="str">
        <x:v>Rework, delayed payments, customer harm and failures to evidence obligations may result.</x:v>
      </x:c>
      <x:c r="L36" s="8" t="str">
        <x:v>Accurate processing and records</x:v>
      </x:c>
      <x:c r="M36" s="8" t="str">
        <x:v>2020-04-01 to 2020-06-30</x:v>
      </x:c>
      <x:c r="N36" s="9" t="n">
        <x:v>4</x:v>
      </x:c>
      <x:c r="O36" s="9" t="n">
        <x:v>3</x:v>
      </x:c>
      <x:c r="P36" s="10" t="str">
        <x:f>IF(AE36="Consolidated","Consolidated",IF(OR(N36="",O36=""),"Not assessed",INDEX('Assessment Guide'!$B$5:$F$9,N36,O36)))</x:f>
        <x:v>High</x:v>
      </x:c>
      <x:c r="Q36" s="8" t="str">
        <x:v>Pressure during transition makes processing errors likely without credited controls.</x:v>
      </x:c>
      <x:c r="R36" s="8" t="str">
        <x:v>Moderate assumes remediable errors; systemic or high-value errors could be Major.</x:v>
      </x:c>
      <x:c r="S36" s="8" t="str">
        <x:v>Case: record keeping and database administration. Assumption from Sam: an operational audit trail is maintained.</x:v>
      </x:c>
      <x:c r="T36" s="8" t="str">
        <x:v>Mixed evidence: case arrangements plus explicit team assumptions; see Evidence and experience.</x:v>
      </x:c>
      <x:c r="U36" s="8" t="str">
        <x:v>Records support detection and investigation. They do not demonstrate preventive approval, fraud detection or counterparty protection.</x:v>
      </x:c>
      <x:c r="V36" s="8" t="str">
        <x:v>Audit trails are reported, but prevention, quality checks and error monitoring are unverified.</x:v>
      </x:c>
      <x:c r="W36" s="8" t="str">
        <x:v>Not tolerable</x:v>
      </x:c>
      <x:c r="X36" s="8" t="str">
        <x:v>Not tolerable for material processing and record failures where preventive or quality controls are assumed inadequate. Records after the event do not establish acceptable ongoing accuracy.</x:v>
      </x:c>
      <x:c r="Y36" s="8" t="str">
        <x:v>Controllability is substantial for the identified internal cause, subject to available resources and verified implementation.</x:v>
      </x:c>
      <x:c r="Z36" s="8" t="str">
        <x:v>Sustain accurate processing and records as part of meeting essential service and policyholder obligations. Business necessity does not itself make the exposure tolerable.</x:v>
      </x:c>
      <x:c r="AA36" s="8" t="str">
        <x:v>Consequences may extend beyond three months; reassess during weekly reviews. Initial likelihood horizon ends 2020-06-30; later information belongs to dated reviews.</x:v>
      </x:c>
      <x:c r="AB36" s="8" t="str">
        <x:v>Claims Manager</x:v>
      </x:c>
      <x:c r="AC36" s="8" t="str">
        <x:v>Cause, event and impact separated; wording aligned to pandemic onset. Source evidence and controls remain unverified. Decisions applied: D11; D12–D14. See Decision Log for specific before/after values.</x:v>
      </x:c>
      <x:c r="AD36" s="8"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AE36" s="5" t="str">
        <x:v>Active</x:v>
      </x:c>
      <x:c r="AF36" s="5" t="str"/>
      <x:c r="AG36" s="39" t="d">
        <x:v>2020-04-01T00:00:00.000Z</x:v>
      </x:c>
      <x:c r="AH36" s="39" t="d">
        <x:v>2020-06-30T00:00:00.000Z</x:v>
      </x:c>
      <x:c r="AI36" s="5" t="str">
        <x:v>Proposed accountable role; individual to be designated</x:v>
      </x:c>
      <x:c r="AJ36" s="5" t="str">
        <x:v>D11; D12; D13; D14; D18</x:v>
      </x:c>
      <x:c r="AK36" s="5" t="str">
        <x:v>D18 project conclusion agreed; provisional assessment subject to stated controls, evidence and assumptions.</x:v>
      </x:c>
    </x:row>
    <x:row r="37" ht="180" customHeight="1">
      <x:c r="A37" s="5" t="str">
        <x:v>R-033</x:v>
      </x:c>
      <x:c r="B37" s="5" t="str">
        <x:v>R3-T-01</x:v>
      </x:c>
      <x:c r="C37" s="5" t="str">
        <x:v>Widespread sensitive customer information is exposed</x:v>
      </x:c>
      <x:c r="D37" s="5" t="str">
        <x:v>Reputation</x:v>
      </x:c>
      <x:c r="E37" s="5" t="str">
        <x:v>3.3</x:v>
      </x:c>
      <x:c r="F37" s="5" t="str">
        <x:v>T</x:v>
      </x:c>
      <x:c r="G37" s="5" t="str">
        <x:v>Provisional</x:v>
      </x:c>
      <x:c r="H37" s="5" t="str">
        <x:v>Revised draft for review</x:v>
      </x:c>
      <x:c r="I37" s="5" t="str">
        <x:v>Remote-access or information-handling weaknesses expose sensitive data.</x:v>
      </x:c>
      <x:c r="J37" s="5" t="str">
        <x:v>Unauthorized access or disclosure exposes sensitive information relating to a substantial number of customers.</x:v>
      </x:c>
      <x:c r="K37" s="5" t="str">
        <x:v>Widespread sensitive-information exposure may cause serious customer harm, substantial remediation and lasting loss of trust. System disruption alone is assessed under R-020.</x:v>
      </x:c>
      <x:c r="L37" s="5" t="str">
        <x:v>Customer information and trust</x:v>
      </x:c>
      <x:c r="M37" s="5" t="str">
        <x:v>2020-04-01 to 2020-06-30</x:v>
      </x:c>
      <x:c r="N37" s="9" t="n">
        <x:v>3</x:v>
      </x:c>
      <x:c r="O37" s="9" t="n">
        <x:v>5</x:v>
      </x:c>
      <x:c r="P37" s="11" t="str">
        <x:f>IF(AE37="Consolidated","Consolidated",IF(OR(N37="",O37=""),"Not assessed",INDEX('Assessment Guide'!$B$5:$F$9,N37,O37)))</x:f>
        <x:v>Extreme</x:v>
      </x:c>
      <x:c r="Q37" s="5" t="str">
        <x:v>Possible within April 1–June 30, 2020 is retained as a provisional judgment. Narrowing the event to widespread serious-harm disclosure does not alone justify a lower likelihood band. Accessible data volumes, safeguards and breach pathways require verification.</x:v>
      </x:c>
      <x:c r="R37" s="5" t="str">
        <x:v>Severe only for widespread sensitive-data exposure causing serious customer harm. This is not a blanket score for every disclosure and is not justified merely by low appetite.</x:v>
      </x:c>
      <x:c r="S37" s="5" t="str">
        <x:v>Case: third-party cloud backup, hosting and security advice. Assumption from Sam: firewalls, email scanning and minimum-privilege access operate as basic office safeguards.</x:v>
      </x:c>
      <x:c r="T37" s="5" t="str">
        <x:v>Mixed evidence: case arrangements plus explicit team assumptions; see Evidence and experience.</x:v>
      </x:c>
      <x:c r="U37" s="5" t="str">
        <x:v>Basic safeguards may reduce exposure. Their remote-work coverage, integrity protection, monitoring and restoration performance are unverified.</x:v>
      </x:c>
      <x:c r="V37" s="5" t="str">
        <x:v>Access restrictions and legal advice are reported; coverage, testing and incident procedures need verification.</x:v>
      </x:c>
      <x:c r="W37" s="5" t="str">
        <x:v>Not tolerable</x:v>
      </x:c>
      <x:c r="X37" s="5" t="str">
        <x:v>Not tolerable for the defined widespread serious-harm disclosure scenario on assumed inadequate safeguards. This conclusion concerns the scenario’s consequences and control gaps, not all minor information incidents.</x:v>
      </x:c>
      <x:c r="Y37" s="5" t="str">
        <x:v>Controllability is substantial for the identified internal cause, subject to available resources and verified implementation.</x:v>
      </x:c>
      <x:c r="Z37" s="5" t="str">
        <x:v>Sustain customer information and trust as part of meeting essential service and policyholder obligations. Business necessity does not itself make the exposure tolerable.</x:v>
      </x:c>
      <x:c r="AA37" s="5" t="str">
        <x:v>Consequences may extend beyond three months; reassess during weekly reviews. Initial likelihood horizon ends 2020-06-30; later information belongs to dated reviews.</x:v>
      </x:c>
      <x:c r="AB37" s="5" t="str">
        <x:v>Network Manager</x:v>
      </x:c>
      <x:c r="AC37" s="5" t="str">
        <x:v>Cause, event and impact separated; wording aligned to pandemic onset. Source evidence and controls remain unverified. Decisions applied: D03; D10; D11; D12–D14. See Decision Log for specific before/after values.</x:v>
      </x:c>
      <x:c r="AD37" s="5"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37" s="5" t="str">
        <x:v>Active</x:v>
      </x:c>
      <x:c r="AF37" s="5" t="str"/>
      <x:c r="AG37" s="39" t="d">
        <x:v>2020-04-01T00:00:00.000Z</x:v>
      </x:c>
      <x:c r="AH37" s="39" t="d">
        <x:v>2020-06-30T00:00:00.000Z</x:v>
      </x:c>
      <x:c r="AI37" s="5" t="str">
        <x:v>Proposed accountable role; individual to be designated</x:v>
      </x:c>
      <x:c r="AJ37" s="5" t="str">
        <x:v>D03; D10; D11; D12; D13; D14; D18; D16</x:v>
      </x:c>
      <x:c r="AK37" s="5" t="str">
        <x:v>D16 agreed: likelihood 3 provisional, magnitude 5; Extreme by categorical matrix, not multiplication. D18 tolerability agreed on stated assumptions.</x:v>
      </x:c>
    </x:row>
    <x:row r="38" ht="180" customHeight="1">
      <x:c r="A38" s="8" t="str">
        <x:v>R-034</x:v>
      </x:c>
      <x:c r="B38" s="8" t="str">
        <x:v>R3-G-01</x:v>
      </x:c>
      <x:c r="C38" s="8" t="str">
        <x:v>Applicable obligations are missed</x:v>
      </x:c>
      <x:c r="D38" s="8" t="str">
        <x:v>Reputation</x:v>
      </x:c>
      <x:c r="E38" s="8" t="str">
        <x:v>3.3</x:v>
      </x:c>
      <x:c r="F38" s="8" t="str">
        <x:v>G</x:v>
      </x:c>
      <x:c r="G38" s="8" t="str">
        <x:v>Approved</x:v>
      </x:c>
      <x:c r="H38" s="8" t="str">
        <x:v>Revised draft for review</x:v>
      </x:c>
      <x:c r="I38" s="8" t="str">
        <x:v>Responsibility and procedures for identifying applicable requirements are incomplete.</x:v>
      </x:c>
      <x:c r="J38" s="8" t="str">
        <x:v>The organization fails to meet an obligation it has not identified or understood.</x:v>
      </x:c>
      <x:c r="K38" s="8" t="str">
        <x:v>Remediation, regulatory action, customer harm and reputational damage may follow.</x:v>
      </x:c>
      <x:c r="L38" s="8" t="str">
        <x:v>Compliance knowledge and accountability</x:v>
      </x:c>
      <x:c r="M38" s="8" t="str">
        <x:v>2020-04-01 to 2020-06-30</x:v>
      </x:c>
      <x:c r="N38" s="9" t="n">
        <x:v>2</x:v>
      </x:c>
      <x:c r="O38" s="9" t="n">
        <x:v>4</x:v>
      </x:c>
      <x:c r="P38" s="10" t="str">
        <x:f>IF(AE38="Consolidated","Consolidated",IF(OR(N38="",O38=""),"Not assessed",INDEX('Assessment Guide'!$B$5:$F$9,N38,O38)))</x:f>
        <x:v>High</x:v>
      </x:c>
      <x:c r="Q38" s="8" t="str">
        <x:v>An unidentified requirement could be missed; actual applicability and evidence of omissions remain uncertain.</x:v>
      </x:c>
      <x:c r="R38" s="8" t="str">
        <x:v>Major assumes a material obligation. No particular regulator is assumed to supervise every activity.</x:v>
      </x:c>
      <x:c r="S38" s="8" t="str">
        <x:v>Case: record keeping and database administration. Assumption from Sam: an operational audit trail is maintained.</x:v>
      </x:c>
      <x:c r="T38" s="8" t="str">
        <x:v>Mixed evidence: case arrangements plus explicit team assumptions; see Evidence and experience.</x:v>
      </x:c>
      <x:c r="U38" s="8" t="str">
        <x:v>Records support detection and investigation. They do not demonstrate preventive approval, fraud detection or counterparty protection.</x:v>
      </x:c>
      <x:c r="V38" s="8" t="str">
        <x:v>Requirement mapping, legal review scope and compliance ownership need confirmation.</x:v>
      </x:c>
      <x:c r="W38" s="8" t="str">
        <x:v>Not tolerable</x:v>
      </x:c>
      <x:c r="X38" s="8" t="str">
        <x:v>Not tolerable if applicable material obligations remain unidentified. Legal services provide a resource but do not establish a complete and effective requirements assessment.</x:v>
      </x:c>
      <x:c r="Y38" s="8" t="str">
        <x:v>Controllability is substantial for the identified internal cause, subject to available resources and verified implementation.</x:v>
      </x:c>
      <x:c r="Z38" s="8" t="str">
        <x:v>Sustain compliance knowledge and accountability as part of meeting essential service and policyholder obligations. Business necessity does not itself make the exposure tolerable.</x:v>
      </x:c>
      <x:c r="AA38" s="8" t="str">
        <x:v>Consequences may extend beyond three months; reassess during weekly reviews. Initial likelihood horizon ends 2020-06-30; later information belongs to dated reviews.</x:v>
      </x:c>
      <x:c r="AB38" s="8" t="str">
        <x:v>Designated Executive Director</x:v>
      </x:c>
      <x:c r="AC38" s="8" t="str">
        <x:v>Cause, event and impact separated; wording aligned to pandemic onset. Source evidence and controls remain unverified. Proposed code R3-C-01 to R3-G-01 based on primary cause or index placement. D01: Chris approved the Governance and Processes classification on 2026-10-18 (project review). Scores and other assessments remain provisional. Decisions applied: D01; D12–D14. See Decision Log for specific before/after values.</x:v>
      </x:c>
      <x:c r="AD38" s="8"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AE38" s="5" t="str">
        <x:v>Active</x:v>
      </x:c>
      <x:c r="AF38" s="5" t="str"/>
      <x:c r="AG38" s="39" t="d">
        <x:v>2020-04-01T00:00:00.000Z</x:v>
      </x:c>
      <x:c r="AH38" s="39" t="d">
        <x:v>2020-06-30T00:00:00.000Z</x:v>
      </x:c>
      <x:c r="AI38" s="5" t="str">
        <x:v>Proposed accountable role; individual to be designated</x:v>
      </x:c>
      <x:c r="AJ38" s="5" t="str">
        <x:v>D01; D12; D13; D14; D18</x:v>
      </x:c>
      <x:c r="AK38" s="5" t="str">
        <x:v>D18 project conclusion agreed; provisional assessment subject to stated controls, evidence and assumptions.</x:v>
      </x:c>
    </x:row>
    <x:row r="39" ht="180" customHeight="1">
      <x:c r="A39" s="5" t="str">
        <x:v>R-035</x:v>
      </x:c>
      <x:c r="B39" s="5" t="str">
        <x:v>R4-P-01</x:v>
      </x:c>
      <x:c r="C39" s="5" t="str">
        <x:v>Staff shortages delay routine customer service</x:v>
      </x:c>
      <x:c r="D39" s="5" t="str">
        <x:v>Reputation</x:v>
      </x:c>
      <x:c r="E39" s="5" t="str">
        <x:v>3.4</x:v>
      </x:c>
      <x:c r="F39" s="5" t="str">
        <x:v>P</x:v>
      </x:c>
      <x:c r="G39" s="5" t="str">
        <x:v>Provisional</x:v>
      </x:c>
      <x:c r="H39" s="5" t="str">
        <x:v>Revised draft for review</x:v>
      </x:c>
      <x:c r="I39" s="5" t="str">
        <x:v>Absence or vacancies reduce staff available for normal customer-facing workloads.</x:v>
      </x:c>
      <x:c r="J39" s="5" t="str">
        <x:v>Customer support, policy administration and other customer-facing services cannot be maintained even at normal demand.</x:v>
      </x:c>
      <x:c r="K39" s="5" t="str">
        <x:v>Routine services are interrupted or delayed, reducing service quality and retention. This may compound the demand-driven claims pressure in R-028 but is independently possible.</x:v>
      </x:c>
      <x:c r="L39" s="5" t="str">
        <x:v>Customer service staffing</x:v>
      </x:c>
      <x:c r="M39" s="5" t="str">
        <x:v>2020-04-01 to 2020-06-30</x:v>
      </x:c>
      <x:c r="N39" s="9" t="n">
        <x:v>4</x:v>
      </x:c>
      <x:c r="O39" s="9" t="n">
        <x:v>3</x:v>
      </x:c>
      <x:c r="P39" s="11" t="str">
        <x:f>IF(AE39="Consolidated","Consolidated",IF(OR(N39="",O39=""),"Not assessed",INDEX('Assessment Guide'!$B$5:$F$9,N39,O39)))</x:f>
        <x:v>High</x:v>
      </x:c>
      <x:c r="Q39" s="5" t="str">
        <x:v>Reduced staffing during pandemic disruption makes routine delays likely.</x:v>
      </x:c>
      <x:c r="R39" s="5" t="str">
        <x:v>Moderate assumes manageable delays. Keep distinct from R-028 only if routine service scope is meaningful.</x:v>
      </x:c>
      <x:c r="S39" s="5" t="str">
        <x:v>Case: customer-service roles and digital service channels. Assumption from Sam: a customer incentive fund is available.</x:v>
      </x:c>
      <x:c r="T39" s="5" t="str">
        <x:v>Mixed evidence: case arrangements plus explicit team assumptions; see Evidence and experience.</x:v>
      </x:c>
      <x:c r="U39" s="5" t="str">
        <x:v>Incentives can assist recovery after a failure but do not prevent workload or staffing disruption.</x:v>
      </x:c>
      <x:c r="V39" s="5" t="str">
        <x:v>Service coverage, queue monitoring and minimum staffing arrangements need verification.</x:v>
      </x:c>
      <x:c r="W39" s="5" t="str">
        <x:v>Not tolerable</x:v>
      </x:c>
      <x:c r="X39" s="5" t="str">
        <x:v>Not tolerable on the assumed inability to cover essential customer-service roles at normal demand. Minor delays within accepted limits would be assessed differently.</x:v>
      </x:c>
      <x:c r="Y39" s="5" t="str">
        <x:v>Controllability is substantial for the identified internal cause, subject to available resources and verified implementation.</x:v>
      </x:c>
      <x:c r="Z39" s="5" t="str">
        <x:v>Sustain customer service staffing as part of meeting essential service and policyholder obligations. Business necessity does not itself make the exposure tolerable.</x:v>
      </x:c>
      <x:c r="AA39" s="5" t="str">
        <x:v>Consequences may extend beyond three months; reassess during weekly reviews. Initial likelihood horizon ends 2020-06-30; later information belongs to dated reviews.</x:v>
      </x:c>
      <x:c r="AB39" s="5" t="str">
        <x:v>Customer Service Manager</x:v>
      </x:c>
      <x:c r="AC39" s="5" t="str">
        <x:v>Cause, event and impact separated; wording aligned to pandemic onset. Source evidence and controls remain unverified. Decisions applied: D05; D12–D14. See Decision Log for specific before/after values.</x:v>
      </x:c>
      <x:c r="AD39" s="5" t="str">
        <x:v>Business outline(1).pdf: The case confirms a small workforce and functional roles (pp. 6–7), but no trained backup or staff-continuity arrangements.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39" s="5" t="str">
        <x:v>Active</x:v>
      </x:c>
      <x:c r="AF39" s="5" t="str"/>
      <x:c r="AG39" s="39" t="d">
        <x:v>2020-04-01T00:00:00.000Z</x:v>
      </x:c>
      <x:c r="AH39" s="39" t="d">
        <x:v>2020-06-30T00:00:00.000Z</x:v>
      </x:c>
      <x:c r="AI39" s="5" t="str">
        <x:v>Proposed accountable role; individual to be designated</x:v>
      </x:c>
      <x:c r="AJ39" s="5" t="str">
        <x:v>D05; D12; D13; D14; D18</x:v>
      </x:c>
      <x:c r="AK39" s="5" t="str">
        <x:v>D18 project conclusion agreed; provisional assessment subject to stated controls, evidence and assumptions.</x:v>
      </x:c>
    </x:row>
    <x:row r="40" ht="180" customHeight="1">
      <x:c r="A40" s="8" t="str">
        <x:v>R-036</x:v>
      </x:c>
      <x:c r="B40" s="8" t="str">
        <x:v>R4-G-01</x:v>
      </x:c>
      <x:c r="C40" s="8" t="str">
        <x:v>Service expectations are communicated unclearly</x:v>
      </x:c>
      <x:c r="D40" s="8" t="str">
        <x:v>Reputation</x:v>
      </x:c>
      <x:c r="E40" s="8" t="str">
        <x:v>3.4</x:v>
      </x:c>
      <x:c r="F40" s="8" t="str">
        <x:v>G</x:v>
      </x:c>
      <x:c r="G40" s="8" t="str">
        <x:v>Approved</x:v>
      </x:c>
      <x:c r="H40" s="8" t="str">
        <x:v>Revised draft for review</x:v>
      </x:c>
      <x:c r="I40" s="8" t="str">
        <x:v>Communication procedures do not keep service timelines, availability and support-channel information consistent.</x:v>
      </x:c>
      <x:c r="J40" s="8" t="str">
        <x:v>Customers receive unclear or inconsistent information about service availability, processing times or how to access support.</x:v>
      </x:c>
      <x:c r="K40" s="8" t="str">
        <x:v>Unmet expectations, repeated enquiries and complaints increase service pressure and reduce confidence. Coverage accuracy is assessed in R-030.</x:v>
      </x:c>
      <x:c r="L40" s="8" t="str">
        <x:v>Consistent service communication</x:v>
      </x:c>
      <x:c r="M40" s="8" t="str">
        <x:v>2020-04-01 to 2020-06-30</x:v>
      </x:c>
      <x:c r="N40" s="9" t="n">
        <x:v>3</x:v>
      </x:c>
      <x:c r="O40" s="9" t="n">
        <x:v>3</x:v>
      </x:c>
      <x:c r="P40" s="10" t="str">
        <x:f>IF(AE40="Consolidated","Consolidated",IF(OR(N40="",O40=""),"Not assessed",INDEX('Assessment Guide'!$B$5:$F$9,N40,O40)))</x:f>
        <x:v>Moderate</x:v>
      </x:c>
      <x:c r="Q40" s="8" t="str">
        <x:v>Multiple channels and changing conditions make inconsistent messages plausible.</x:v>
      </x:c>
      <x:c r="R40" s="8" t="str">
        <x:v>Moderate assumes remediable confusion; material coverage misinformation is assessed in R-030.</x:v>
      </x:c>
      <x:c r="S40" s="8" t="str">
        <x:v>Case: communication roles and legal services. Assumption from Sam: social-media crisis templates are available.</x:v>
      </x:c>
      <x:c r="T40" s="8" t="str">
        <x:v>Mixed evidence: case arrangements plus explicit team assumptions; see Evidence and experience.</x:v>
      </x:c>
      <x:c r="U40" s="8" t="str">
        <x:v>Templates and advice may support communication. Accuracy, timely updates and checks across channels are not demonstrated.</x:v>
      </x:c>
      <x:c r="V40" s="8" t="str">
        <x:v>Message approval, service updates and consistency checks are unverified.</x:v>
      </x:c>
      <x:c r="W40" s="8" t="str">
        <x:v>Not tolerable</x:v>
      </x:c>
      <x:c r="X40" s="8" t="str">
        <x:v>Not tolerable where assumed communication gaps repeatedly create material unmet expectations and customer harm. A low-impact isolated misunderstanding is outside this scenario.</x:v>
      </x:c>
      <x:c r="Y40" s="8" t="str">
        <x:v>Controllability is substantial for the identified internal cause, subject to available resources and verified implementation.</x:v>
      </x:c>
      <x:c r="Z40" s="8" t="str">
        <x:v>Sustain consistent service communication as part of meeting essential service and policyholder obligations. Business necessity does not itself make the exposure tolerable.</x:v>
      </x:c>
      <x:c r="AA40" s="8" t="str">
        <x:v>Consequences may extend beyond three months; reassess during weekly reviews. Initial likelihood horizon ends 2020-06-30; later information belongs to dated reviews.</x:v>
      </x:c>
      <x:c r="AB40" s="8" t="str">
        <x:v>Customer Service Manager</x:v>
      </x:c>
      <x:c r="AC40" s="8" t="str">
        <x:v>Cause, event and impact separated; wording aligned to pandemic onset. Source evidence and controls remain unverified. Proposed code R4-C-01 to R4-G-01 based on primary cause or index placement. D01: Chris approved the Governance and Processes classification on 2026-10-18 (project review). Scores and other assessments remain provisional. Decisions applied: D01; D06; D12–D14. See Decision Log for specific before/after values.</x:v>
      </x:c>
      <x:c r="AD40" s="8" t="str">
        <x:v>Business outline(1).pdf: The case confirms a Marketing Manager, customer-service roles and legal services (pp. 6–7), but not communication templates or approval checks. Team source: Sam’s Existing Controls.docx; original descriptions and examples are preserved by Record ID in Source Records. No internal incident history is verified. Only evidence available by 2020-04-01 can support the initial assessment.</x:v>
      </x:c>
      <x:c r="AE40" s="5" t="str">
        <x:v>Active</x:v>
      </x:c>
      <x:c r="AF40" s="5" t="str"/>
      <x:c r="AG40" s="39" t="d">
        <x:v>2020-04-01T00:00:00.000Z</x:v>
      </x:c>
      <x:c r="AH40" s="39" t="d">
        <x:v>2020-06-30T00:00:00.000Z</x:v>
      </x:c>
      <x:c r="AI40" s="5" t="str">
        <x:v>Proposed accountable role; individual to be designated</x:v>
      </x:c>
      <x:c r="AJ40" s="5" t="str">
        <x:v>D01; D06; D12; D13; D14; D18</x:v>
      </x:c>
      <x:c r="AK40" s="5" t="str">
        <x:v>D18 project conclusion agreed; provisional assessment subject to stated controls, evidence and assumptions.</x:v>
      </x:c>
    </x:row>
    <x:row r="41" ht="180" customHeight="1">
      <x:c r="A41" s="5" t="str">
        <x:v>R-037</x:v>
      </x:c>
      <x:c r="B41" s="5" t="str">
        <x:v>M1-E-01</x:v>
      </x:c>
      <x:c r="C41" s="5" t="str">
        <x:v>Households reduce or cancel coverage</x:v>
      </x:c>
      <x:c r="D41" s="5" t="str">
        <x:v>Marketing</x:v>
      </x:c>
      <x:c r="E41" s="5" t="str">
        <x:v>4.1</x:v>
      </x:c>
      <x:c r="F41" s="5" t="str">
        <x:v>E</x:v>
      </x:c>
      <x:c r="G41" s="5" t="str">
        <x:v>Provisional</x:v>
      </x:c>
      <x:c r="H41" s="5" t="str">
        <x:v>Revised draft for review</x:v>
      </x:c>
      <x:c r="I41" s="5" t="str">
        <x:v>Income loss and financial uncertainty reduce customers' ability to pay. Delayed or insufficient public assistance may prolong household affordability pressure.</x:v>
      </x:c>
      <x:c r="J41" s="5" t="str">
        <x:v>Individual customers defer payments, reduce cover or cancel policies.</x:v>
      </x:c>
      <x:c r="K41" s="5" t="str">
        <x:v>Premium income and retention decline, weakening funds available for operations.</x:v>
      </x:c>
      <x:c r="L41" s="5" t="str">
        <x:v>Premium income and customer retention</x:v>
      </x:c>
      <x:c r="M41" s="5" t="str">
        <x:v>2020-04-01 to 2020-06-30</x:v>
      </x:c>
      <x:c r="N41" s="9" t="n">
        <x:v>4</x:v>
      </x:c>
      <x:c r="O41" s="9" t="n">
        <x:v>3</x:v>
      </x:c>
      <x:c r="P41" s="11" t="str">
        <x:f>IF(AE41="Consolidated","Consolidated",IF(OR(N41="",O41=""),"Not assessed",INDEX('Assessment Guide'!$B$5:$F$9,N41,O41)))</x:f>
        <x:v>High</x:v>
      </x:c>
      <x:c r="Q41" s="5" t="str">
        <x:v>Pandemic-related income pressure makes some reductions likely; portfolio-specific lapse rates are unknown. Public assistance may affect the duration of pressure; no particular program or eligibility is assumed.</x:v>
      </x:c>
      <x:c r="R41" s="5" t="str">
        <x:v>Moderate assumes losses are manageable across the book; widespread lapse would be more severe.</x:v>
      </x:c>
      <x:c r="S41" s="5" t="str">
        <x:v>Assumption from Sam: financial modelling, market research and customer incentives operate. None is specified as a tested control in the case.</x:v>
      </x:c>
      <x:c r="T41" s="5" t="str">
        <x:v>Mixed evidence: case arrangements plus explicit team assumptions; see Evidence and experience.</x:v>
      </x:c>
      <x:c r="U41" s="5" t="str">
        <x:v>These may support adaptation and retention, but cannot prevent customers’ financial difficulties or prove revenue resilience.</x:v>
      </x:c>
      <x:c r="V41" s="5" t="str">
        <x:v>Lapse forecasts, affordability arrangements and retention effectiveness need confirmation.</x:v>
      </x:c>
      <x:c r="W41" s="5" t="str">
        <x:v>Tolerable</x:v>
      </x:c>
      <x:c r="X41" s="5" t="str">
        <x:v>Tolerable provisionally as an unavoidable, moderate commercial exposure to household affordability pressure, assuming premium losses remain within financial capacity and customers are treated appropriately. This assumption must be tested against portfolio forecasts. Assess combined premium-income effects across R-037, R-038 and R-040; individual affordability does not establish aggregate capacity.</x:v>
      </x:c>
      <x:c r="Y41" s="5" t="str">
        <x:v>Controllability is partial: internal preparation and decisions can reduce exposure, while external conditions may remain beyond our control.</x:v>
      </x:c>
      <x:c r="Z41" s="5" t="str">
        <x:v>Sustain premium income and customer retention as part of meeting essential service and policyholder obligations. Business necessity does not itself make the exposure tolerable.</x:v>
      </x:c>
      <x:c r="AA41" s="5" t="str">
        <x:v>Consequences may extend beyond three months; reassess during weekly reviews. Initial likelihood horizon ends 2020-06-30; later information belongs to dated reviews.</x:v>
      </x:c>
      <x:c r="AB41" s="5" t="str">
        <x:v>Marketing Manager</x:v>
      </x:c>
      <x:c r="AC41" s="5" t="str">
        <x:v>Cause, event and impact separated; wording aligned to pandemic onset. Source evidence and controls remain unverified. Decisions applied: D09; D12–D14. See Decision Log for specific before/after values.</x:v>
      </x:c>
      <x:c r="AD41" s="5"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41" s="5" t="str">
        <x:v>Active</x:v>
      </x:c>
      <x:c r="AF41" s="5" t="str"/>
      <x:c r="AG41" s="39" t="d">
        <x:v>2020-04-01T00:00:00.000Z</x:v>
      </x:c>
      <x:c r="AH41" s="39" t="d">
        <x:v>2020-06-30T00:00:00.000Z</x:v>
      </x:c>
      <x:c r="AI41" s="5" t="str">
        <x:v>Proposed accountable role; individual to be designated</x:v>
      </x:c>
      <x:c r="AJ41" s="5" t="str">
        <x:v>D09; D12; D13; D14; D18</x:v>
      </x:c>
      <x:c r="AK41" s="5" t="str">
        <x:v>D18 project conclusion agreed; provisional assessment subject to stated controls, evidence and assumptions.</x:v>
      </x:c>
    </x:row>
    <x:row r="42" ht="180" customHeight="1">
      <x:c r="A42" s="8" t="str">
        <x:v>R-038</x:v>
      </x:c>
      <x:c r="B42" s="8" t="str">
        <x:v>M1-E-02</x:v>
      </x:c>
      <x:c r="C42" s="8" t="str">
        <x:v>Small-business clients reduce, defer or cancel coverage</x:v>
      </x:c>
      <x:c r="D42" s="8" t="str">
        <x:v>Marketing</x:v>
      </x:c>
      <x:c r="E42" s="8" t="str">
        <x:v>4.1</x:v>
      </x:c>
      <x:c r="F42" s="8" t="str">
        <x:v>E</x:v>
      </x:c>
      <x:c r="G42" s="8" t="str">
        <x:v>Provisional</x:v>
      </x:c>
      <x:c r="H42" s="8" t="str">
        <x:v>Revised draft for review</x:v>
      </x:c>
      <x:c r="I42" s="8" t="str">
        <x:v>Pandemic revenue losses or closures reduce small-business clients’ ability to fund premiums. Delayed or insufficient public assistance may prolong this pressure.</x:v>
      </x:c>
      <x:c r="J42" s="8" t="str">
        <x:v>Small-business clients defer premium payments, reduce coverage or cancel policies.</x:v>
      </x:c>
      <x:c r="K42" s="8" t="str">
        <x:v>Premium income and customer retention decline. Business-client cover is confirmed as a segment, but particular policy types and coverage terms are unspecified.</x:v>
      </x:c>
      <x:c r="L42" s="8" t="str">
        <x:v>Customer affordability and premium income</x:v>
      </x:c>
      <x:c r="M42" s="8" t="str">
        <x:v>2020-04-01 to 2020-06-30</x:v>
      </x:c>
      <x:c r="N42" s="9" t="n">
        <x:v>3</x:v>
      </x:c>
      <x:c r="O42" s="9" t="n">
        <x:v>3</x:v>
      </x:c>
      <x:c r="P42" s="10" t="str">
        <x:f>IF(AE42="Consolidated","Consolidated",IF(OR(N42="",O42=""),"Not assessed",INDEX('Assessment Guide'!$B$5:$F$9,N42,O42)))</x:f>
        <x:v>Moderate</x:v>
      </x:c>
      <x:c r="Q42" s="8" t="str">
        <x:v>Possible: the case confirms more than 100 small-business clients (Business outline, p. 2). Revenue disruption could affect their payments; concentration, premium value and actual lapse rates are unknown.</x:v>
      </x:c>
      <x:c r="R42" s="8" t="str">
        <x:v>Moderate provisional judgment: a meaningful segment may be affected, but its premium share is not supplied. Do not substitute business owners’ personal policies for the confirmed business-client segment.</x:v>
      </x:c>
      <x:c r="S42" s="8" t="str">
        <x:v>Assumption from Sam: financial modelling, market research and customer incentives operate. None is specified as a tested control in the case.</x:v>
      </x:c>
      <x:c r="T42" s="8" t="str">
        <x:v>Mixed evidence: case arrangements plus explicit team assumptions; see Evidence and experience.</x:v>
      </x:c>
      <x:c r="U42" s="8" t="str">
        <x:v>These may support adaptation and retention, but cannot prevent customers’ financial difficulties or prove revenue resilience.</x:v>
      </x:c>
      <x:c r="V42" s="8" t="str">
        <x:v>Confirm business-client premium exposure, policy terms and affordability arrangements. Do not assume business-interruption cover or public-program eligibility.</x:v>
      </x:c>
      <x:c r="W42" s="8" t="str">
        <x:v>Tolerable</x:v>
      </x:c>
      <x:c r="X42" s="8" t="str">
        <x:v>Tolerable provisionally as moderate exposure to the confirmed small-business segment, assuming reductions do not threaten financial capacity and treatment of customers remains appropriate. The segment’s premium concentration is unverified. Assess combined premium-income effects across R-037, R-038 and R-040; individual affordability does not establish aggregate capacity.</x:v>
      </x:c>
      <x:c r="Y42" s="8" t="str">
        <x:v>Controllability is partial: internal preparation and decisions can reduce exposure, while external conditions may remain beyond our control.</x:v>
      </x:c>
      <x:c r="Z42" s="8" t="str">
        <x:v>Sustain customer affordability and premium income as part of meeting essential service and policyholder obligations. Business necessity does not itself make the exposure tolerable.</x:v>
      </x:c>
      <x:c r="AA42" s="8" t="str">
        <x:v>Consequences may extend beyond three months; reassess during weekly reviews. Initial likelihood horizon ends 2020-06-30; later information belongs to dated reviews.</x:v>
      </x:c>
      <x:c r="AB42" s="8" t="str">
        <x:v>Marketing Manager</x:v>
      </x:c>
      <x:c r="AC42" s="8" t="str">
        <x:v>Cause, event and impact separated; wording aligned to pandemic onset. Source evidence and controls remain unverified. Decisions applied: D08; D09; D12–D14. See Decision Log for specific before/after values.</x:v>
      </x:c>
      <x:c r="AD42" s="8"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42" s="5" t="str">
        <x:v>Active</x:v>
      </x:c>
      <x:c r="AF42" s="5" t="str"/>
      <x:c r="AG42" s="39" t="d">
        <x:v>2020-04-01T00:00:00.000Z</x:v>
      </x:c>
      <x:c r="AH42" s="39" t="d">
        <x:v>2020-06-30T00:00:00.000Z</x:v>
      </x:c>
      <x:c r="AI42" s="5" t="str">
        <x:v>Proposed accountable role; individual to be designated</x:v>
      </x:c>
      <x:c r="AJ42" s="5" t="str">
        <x:v>D08; D09; D12; D13; D14; D18</x:v>
      </x:c>
      <x:c r="AK42" s="5" t="str">
        <x:v>D18 project conclusion agreed; provisional assessment subject to stated controls, evidence and assumptions.</x:v>
      </x:c>
    </x:row>
    <x:row r="43" ht="180" customHeight="1">
      <x:c r="A43" s="5" t="str">
        <x:v>R-039</x:v>
      </x:c>
      <x:c r="B43" s="5" t="str">
        <x:v>M1-E-03</x:v>
      </x:c>
      <x:c r="C43" s="5" t="str">
        <x:v>Travel demand and auto premium income fall</x:v>
      </x:c>
      <x:c r="D43" s="5" t="str">
        <x:v>Marketing</x:v>
      </x:c>
      <x:c r="E43" s="5" t="str">
        <x:v>4.1</x:v>
      </x:c>
      <x:c r="F43" s="5" t="str">
        <x:v>E</x:v>
      </x:c>
      <x:c r="G43" s="5" t="str">
        <x:v>Provisional</x:v>
      </x:c>
      <x:c r="H43" s="5" t="str">
        <x:v>Revised draft for review</x:v>
      </x:c>
      <x:c r="I43" s="5" t="str">
        <x:v>Travel restrictions and reduced driving change insurance needs and expectations.</x:v>
      </x:c>
      <x:c r="J43" s="5" t="str">
        <x:v>Travel sales decline sharply and auto customers seek lower premiums or reduced cover.</x:v>
      </x:c>
      <x:c r="K43" s="5" t="str">
        <x:v>Revenue and product mix deteriorate, potentially requiring significant resource adjustment.</x:v>
      </x:c>
      <x:c r="L43" s="5" t="str">
        <x:v>Product revenue and diversification</x:v>
      </x:c>
      <x:c r="M43" s="5" t="str">
        <x:v>2020-04-01 to 2020-06-30</x:v>
      </x:c>
      <x:c r="N43" s="9" t="n">
        <x:v>5</x:v>
      </x:c>
      <x:c r="O43" s="9" t="n">
        <x:v>4</x:v>
      </x:c>
      <x:c r="P43" s="11" t="str">
        <x:f>IF(AE43="Consolidated","Consolidated",IF(OR(N43="",O43=""),"Not assessed",INDEX('Assessment Guide'!$B$5:$F$9,N43,O43)))</x:f>
        <x:v>Extreme</x:v>
      </x:c>
      <x:c r="Q43" s="5" t="str">
        <x:v>These demand changes are highly plausible at pandemic onset; exact timing and size remain assumptions.</x:v>
      </x:c>
      <x:c r="R43" s="5" t="str">
        <x:v>Major assumes material concentration in affected lines. Travel sales are not assumed to stop entirely.</x:v>
      </x:c>
      <x:c r="S43" s="5" t="str">
        <x:v>Assumption from Sam: financial modelling, market research and customer incentives operate. None is specified as a tested control in the case.</x:v>
      </x:c>
      <x:c r="T43" s="5" t="str">
        <x:v>Mixed evidence: case arrangements plus explicit team assumptions; see Evidence and experience.</x:v>
      </x:c>
      <x:c r="U43" s="5" t="str">
        <x:v>These may support adaptation and retention, but cannot prevent customers’ financial difficulties or prove revenue resilience.</x:v>
      </x:c>
      <x:c r="V43" s="5" t="str">
        <x:v>Product forecasts, revenue sensitivity and retention measures are unverified.</x:v>
      </x:c>
      <x:c r="W43" s="5" t="str">
        <x:v>Awaiting assessment</x:v>
      </x:c>
      <x:c r="X43" s="5" t="str">
        <x:v>Awaiting assessment: the case does not quantify the exposure and available financial capacity sufficiently to decide whether the remaining risk fits appetite. Product forecasts, revenue sensitivity and retention measures are unverified. Continued operations require this assessment; a High or Extreme inherent rating alone is not a tolerability decision.</x:v>
      </x:c>
      <x:c r="Y43" s="5" t="str">
        <x:v>Controllability is partial: internal preparation and decisions can reduce exposure, while external conditions may remain beyond our control.</x:v>
      </x:c>
      <x:c r="Z43" s="5" t="str">
        <x:v>Sustain product revenue and diversification as part of meeting essential service and policyholder obligations. Business necessity does not itself make the exposure tolerable.</x:v>
      </x:c>
      <x:c r="AA43" s="5" t="str">
        <x:v>Consequences may extend beyond three months; reassess during weekly reviews. Initial likelihood horizon ends 2020-06-30; later information belongs to dated reviews.</x:v>
      </x:c>
      <x:c r="AB43" s="5" t="str">
        <x:v>Marketing Manager</x:v>
      </x:c>
      <x:c r="AC43" s="5" t="str">
        <x:v>Cause, event and impact separated; wording aligned to pandemic onset. Source evidence and controls remain unverified. Decisions applied: D11; D12–D14. See Decision Log for specific before/after values.</x:v>
      </x:c>
      <x:c r="AD43" s="5"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43" s="5" t="str">
        <x:v>Active</x:v>
      </x:c>
      <x:c r="AF43" s="5" t="str"/>
      <x:c r="AG43" s="39" t="d">
        <x:v>2020-04-01T00:00:00.000Z</x:v>
      </x:c>
      <x:c r="AH43" s="39" t="d">
        <x:v>2020-06-30T00:00:00.000Z</x:v>
      </x:c>
      <x:c r="AI43" s="5" t="str">
        <x:v>Proposed accountable role; individual to be designated</x:v>
      </x:c>
      <x:c r="AJ43" s="5" t="str">
        <x:v>D11; D12; D13; D14; D18</x:v>
      </x:c>
      <x:c r="AK43" s="5" t="str">
        <x:v>D18 agreed: decision remains unresolved pending material financial evidence; exposure is not accepted.</x:v>
      </x:c>
    </x:row>
    <x:row r="44" ht="180" customHeight="1">
      <x:c r="A44" s="8" t="str">
        <x:v>R-040</x:v>
      </x:c>
      <x:c r="B44" s="8" t="str">
        <x:v>M2-E-01</x:v>
      </x:c>
      <x:c r="C44" s="8" t="str">
        <x:v>Competitors attract price-sensitive customers</x:v>
      </x:c>
      <x:c r="D44" s="8" t="str">
        <x:v>Marketing</x:v>
      </x:c>
      <x:c r="E44" s="8" t="str">
        <x:v>4.2</x:v>
      </x:c>
      <x:c r="F44" s="8" t="str">
        <x:v>E</x:v>
      </x:c>
      <x:c r="G44" s="8" t="str">
        <x:v>Provisional</x:v>
      </x:c>
      <x:c r="H44" s="8" t="str">
        <x:v>Revised draft for review</x:v>
      </x:c>
      <x:c r="I44" s="8" t="str">
        <x:v>Competing insurers offer appealing prices or terms during financial uncertainty.</x:v>
      </x:c>
      <x:c r="J44" s="8" t="str">
        <x:v>Customers switch away from ITrustU.</x:v>
      </x:c>
      <x:c r="K44" s="8" t="str">
        <x:v>Premium income and retention decline, increasing acquisition pressure.</x:v>
      </x:c>
      <x:c r="L44" s="8" t="str">
        <x:v>Competitive offer and retention</x:v>
      </x:c>
      <x:c r="M44" s="8" t="str">
        <x:v>2020-04-01 to 2020-06-30</x:v>
      </x:c>
      <x:c r="N44" s="9" t="n">
        <x:v>3</x:v>
      </x:c>
      <x:c r="O44" s="9" t="n">
        <x:v>3</x:v>
      </x:c>
      <x:c r="P44" s="10" t="str">
        <x:f>IF(AE44="Consolidated","Consolidated",IF(OR(N44="",O44=""),"Not assessed",INDEX('Assessment Guide'!$B$5:$F$9,N44,O44)))</x:f>
        <x:v>Moderate</x:v>
      </x:c>
      <x:c r="Q44" s="8" t="str">
        <x:v>Switching is plausible, but no competitive pricing or retention evidence supports a higher estimate.</x:v>
      </x:c>
      <x:c r="R44" s="8" t="str">
        <x:v>Moderate assumes manageable customer losses rather than a sustained loss of market position.</x:v>
      </x:c>
      <x:c r="S44" s="8" t="str">
        <x:v>Assumption from Sam: financial modelling, market research and customer incentives operate. None is specified as a tested control in the case.</x:v>
      </x:c>
      <x:c r="T44" s="8" t="str">
        <x:v>Mixed evidence: case arrangements plus explicit team assumptions; see Evidence and experience.</x:v>
      </x:c>
      <x:c r="U44" s="8" t="str">
        <x:v>These may support adaptation and retention, but cannot prevent customers’ financial difficulties or prove revenue resilience.</x:v>
      </x:c>
      <x:c r="V44" s="8" t="str">
        <x:v>Market research is reported; pricing intelligence and resulting decisions need verification.</x:v>
      </x:c>
      <x:c r="W44" s="8" t="str">
        <x:v>Tolerable</x:v>
      </x:c>
      <x:c r="X44" s="8" t="str">
        <x:v>Tolerable provisionally as moderate competitive customer loss while continuing to offer insurance, assuming loss remains within financial capacity. Market research supports awareness but does not guarantee retention. Assess combined premium-income effects across R-037, R-038 and R-040; individual affordability does not establish aggregate capacity.</x:v>
      </x:c>
      <x:c r="Y44" s="8" t="str">
        <x:v>Controllability is partial: internal preparation and decisions can reduce exposure, while external conditions may remain beyond our control.</x:v>
      </x:c>
      <x:c r="Z44" s="8" t="str">
        <x:v>Sustain competitive offer and retention as part of meeting essential service and policyholder obligations. Business necessity does not itself make the exposure tolerable.</x:v>
      </x:c>
      <x:c r="AA44" s="8" t="str">
        <x:v>Consequences may extend beyond three months; reassess during weekly reviews. Initial likelihood horizon ends 2020-06-30; later information belongs to dated reviews.</x:v>
      </x:c>
      <x:c r="AB44" s="8" t="str">
        <x:v>Marketing Manager</x:v>
      </x:c>
      <x:c r="AC44" s="8" t="str">
        <x:v>Cause, event and impact separated; wording aligned to pandemic onset. Source evidence and controls remain unverified. Decisions applied: D11; D12–D14. See Decision Log for specific before/after values.</x:v>
      </x:c>
      <x:c r="AD44" s="8"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44" s="5" t="str">
        <x:v>Active</x:v>
      </x:c>
      <x:c r="AF44" s="5" t="str"/>
      <x:c r="AG44" s="39" t="d">
        <x:v>2020-04-01T00:00:00.000Z</x:v>
      </x:c>
      <x:c r="AH44" s="39" t="d">
        <x:v>2020-06-30T00:00:00.000Z</x:v>
      </x:c>
      <x:c r="AI44" s="5" t="str">
        <x:v>Proposed accountable role; individual to be designated</x:v>
      </x:c>
      <x:c r="AJ44" s="5" t="str">
        <x:v>D11; D12; D13; D14; D18</x:v>
      </x:c>
      <x:c r="AK44" s="5" t="str">
        <x:v>D18 project conclusion agreed; provisional assessment subject to stated controls, evidence and assumptions.</x:v>
      </x:c>
    </x:row>
    <x:row r="45" ht="180" customHeight="1">
      <x:c r="A45" s="5" t="str">
        <x:v>R-041</x:v>
      </x:c>
      <x:c r="B45" s="5" t="str">
        <x:v>M3-E-01</x:v>
      </x:c>
      <x:c r="C45" s="5" t="str">
        <x:v>Market volatility reduces asset values and income</x:v>
      </x:c>
      <x:c r="D45" s="5" t="str">
        <x:v>Marketing</x:v>
      </x:c>
      <x:c r="E45" s="5" t="str">
        <x:v>4.3</x:v>
      </x:c>
      <x:c r="F45" s="5" t="str">
        <x:v>E</x:v>
      </x:c>
      <x:c r="G45" s="5" t="str">
        <x:v>Provisional</x:v>
      </x:c>
      <x:c r="H45" s="5" t="str">
        <x:v>Revised draft for review</x:v>
      </x:c>
      <x:c r="I45" s="5" t="str">
        <x:v>Economic disruption affects the value and income of Canadian investments.</x:v>
      </x:c>
      <x:c r="J45" s="5" t="str">
        <x:v>The portfolio suffers material losses or reduced investment income.</x:v>
      </x:c>
      <x:c r="K45" s="5" t="str">
        <x:v>Financial capacity and funding of obligations weaken, with possible forced sales and longer-term effects.</x:v>
      </x:c>
      <x:c r="L45" s="5" t="str">
        <x:v>Investment performance and funding</x:v>
      </x:c>
      <x:c r="M45" s="5" t="str">
        <x:v>2020-04-01 to 2020-06-30</x:v>
      </x:c>
      <x:c r="N45" s="9" t="n">
        <x:v>4</x:v>
      </x:c>
      <x:c r="O45" s="9" t="n">
        <x:v>4</x:v>
      </x:c>
      <x:c r="P45" s="11" t="str">
        <x:f>IF(AE45="Consolidated","Consolidated",IF(OR(N45="",O45=""),"Not assessed",INDEX('Assessment Guide'!$B$5:$F$9,N45,O45)))</x:f>
        <x:v>Extreme</x:v>
      </x:c>
      <x:c r="Q45" s="5" t="str">
        <x:v>Material portfolio deterioration is likely in stressed markets but depends on holdings; not all assets must fall together.</x:v>
      </x:c>
      <x:c r="R45" s="5" t="str">
        <x:v>Major assumes a meaningful portfolio loss. Interest-rate liability effects are separately assessed in R-012.</x:v>
      </x:c>
      <x:c r="S45" s="5" t="str">
        <x:v>Assumption from Sam: financial modelling is in use for funds and expenditure. The case confirms financial activities, not this control.</x:v>
      </x:c>
      <x:c r="T45" s="5" t="str">
        <x:v>Mixed evidence: case arrangements plus explicit team assumptions; see Evidence and experience.</x:v>
      </x:c>
      <x:c r="U45" s="5" t="str">
        <x:v>Modelling can identify pressure but does not provide cash, prevent losses or prove scenario coverage. Effectiveness is unverified.</x:v>
      </x:c>
      <x:c r="V45" s="5" t="str">
        <x:v>Portfolio exposures, stress tests and financial resilience are unverified.</x:v>
      </x:c>
      <x:c r="W45" s="5" t="str">
        <x:v>Awaiting assessment</x:v>
      </x:c>
      <x:c r="X45" s="5" t="str">
        <x:v>Awaiting assessment: the case does not quantify the exposure and available financial capacity sufficiently to decide whether the remaining risk fits appetite. Portfolio exposures, stress tests and financial resilience are unverified. Continued operations require this assessment; a High or Extreme inherent rating alone is not a tolerability decision.</x:v>
      </x:c>
      <x:c r="Y45" s="5" t="str">
        <x:v>Controllability is partial: internal preparation and decisions can reduce exposure, while external conditions may remain beyond our control.</x:v>
      </x:c>
      <x:c r="Z45" s="5" t="str">
        <x:v>Sustain investment performance and funding as part of meeting essential service and policyholder obligations. Business necessity does not itself make the exposure tolerable.</x:v>
      </x:c>
      <x:c r="AA45" s="5" t="str">
        <x:v>Long-duration funding effects may build beyond three months. Review longer-term sensitivity separately; do not interpret the three-month likelihood as lifetime exposure. Initial likelihood horizon ends 2020-06-30; later information belongs to dated reviews.</x:v>
      </x:c>
      <x:c r="AB45" s="5" t="str">
        <x:v>Finance Manager</x:v>
      </x:c>
      <x:c r="AC45" s="5" t="str">
        <x:v>Cause, event and impact separated; wording aligned to pandemic onset. Source evidence and controls remain unverified. Proposed scores 5/4 to 4/4; see assessment reasoning. Decisions applied: D11; D12–D14. See Decision Log for specific before/after values.</x:v>
      </x:c>
      <x:c r="AD45" s="5"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AE45" s="5" t="str">
        <x:v>Active</x:v>
      </x:c>
      <x:c r="AF45" s="5" t="str"/>
      <x:c r="AG45" s="39" t="d">
        <x:v>2020-04-01T00:00:00.000Z</x:v>
      </x:c>
      <x:c r="AH45" s="39" t="d">
        <x:v>2020-06-30T00:00:00.000Z</x:v>
      </x:c>
      <x:c r="AI45" s="5" t="str">
        <x:v>Proposed accountable role; individual to be designated</x:v>
      </x:c>
      <x:c r="AJ45" s="5" t="str">
        <x:v>D11; D12; D13; D14; D18</x:v>
      </x:c>
      <x:c r="AK45" s="5" t="str">
        <x:v>D18 agreed: decision remains unresolved pending material financial evidence; exposure is not accepted.</x:v>
      </x:c>
    </x:row>
    <x:row r="46" ht="180" customHeight="1">
      <x:c r="A46" s="8" t="str">
        <x:v>R-042</x:v>
      </x:c>
      <x:c r="B46" s="8" t="str">
        <x:v>I4-S-02</x:v>
      </x:c>
      <x:c r="C46" s="8" t="str">
        <x:v>Nonfinancial support sought from Tiva is unavailable</x:v>
      </x:c>
      <x:c r="D46" s="8" t="str">
        <x:v>Infrastructure</x:v>
      </x:c>
      <x:c r="E46" s="8" t="str">
        <x:v>2.4</x:v>
      </x:c>
      <x:c r="F46" s="8" t="str">
        <x:v>S</x:v>
      </x:c>
      <x:c r="G46" s="8" t="str">
        <x:v>Approved</x:v>
      </x:c>
      <x:c r="H46" s="8" t="str">
        <x:v>Revised draft for review</x:v>
      </x:c>
      <x:c r="I46" s="8" t="str">
        <x:v>Competing demands across Tiva constrain specialist expertise, technical assistance or independent review.</x:v>
      </x:c>
      <x:c r="J46" s="8" t="str">
        <x:v>Nonfinancial support sought from Tiva is unavailable or delayed when needed.</x:v>
      </x:c>
      <x:c r="K46" s="8" t="str">
        <x:v>Risk assessment or operational improvements may be delayed while ITrustU uses internal capacity or seeks alternatives. Committed support or essential dependence is not assumed. Financial support is R-002.</x:v>
      </x:c>
      <x:c r="L46" s="8" t="str">
        <x:v>Group support and strategic flexibility</x:v>
      </x:c>
      <x:c r="M46" s="8" t="str">
        <x:v>2020-04-01 to 2020-06-30</x:v>
      </x:c>
      <x:c r="N46" s="9" t="n">
        <x:v>3</x:v>
      </x:c>
      <x:c r="O46" s="9" t="n">
        <x:v>3</x:v>
      </x:c>
      <x:c r="P46" s="10" t="str">
        <x:f>IF(AE46="Consolidated","Consolidated",IF(OR(N46="",O46=""),"Not assessed",INDEX('Assessment Guide'!$B$5:$F$9,N46,O46)))</x:f>
        <x:v>Moderate</x:v>
      </x:c>
      <x:c r="Q46" s="8" t="str">
        <x:v>Group pressure is plausible, but no group financial evidence supports a firm assessment.</x:v>
      </x:c>
      <x:c r="R46" s="8" t="str">
        <x:v>Proposed Moderate: unavailable advisory or technical help creates coordination and resourcing pressures, but no essential dependence is confirmed. Major would require evidence that missing expertise threatens essential obligations.</x:v>
      </x:c>
      <x:c r="S46" s="8" t="str">
        <x:v>Case: third-party service relationships, including backup, hosting, security advice and legal services. No supplier continuity assurance is specified.</x:v>
      </x:c>
      <x:c r="T46" s="8" t="str">
        <x:v>Mixed evidence: case arrangements plus explicit team assumptions; see Evidence and experience.</x:v>
      </x:c>
      <x:c r="U46" s="8" t="str">
        <x:v>Access to providers is not proof of resilience. Contracts, alternative capacity and service continuity need assessment.</x:v>
      </x:c>
      <x:c r="V46" s="8" t="str">
        <x:v>Confirm the support sought, internal skills and alternative providers. Review proposed relocation from M3 to I4 for nonfinancial provider continuity.</x:v>
      </x:c>
      <x:c r="W46" s="8" t="str">
        <x:v>Tolerable</x:v>
      </x:c>
      <x:c r="X46" s="8" t="str">
        <x:v>Tolerable provisionally only on the assumption that internal capability or alternative specialists can sustain essential work without Tiva assistance. If essential dependence is established, reassess magnitude and tolerability.</x:v>
      </x:c>
      <x:c r="Y46" s="8" t="str">
        <x:v>Controllability is partial: internal preparation and decisions can reduce exposure, while external conditions may remain beyond our control.</x:v>
      </x:c>
      <x:c r="Z46" s="8" t="str">
        <x:v>Sustain group support and strategic flexibility as part of meeting essential service and policyholder obligations. Business necessity does not itself make the exposure tolerable.</x:v>
      </x:c>
      <x:c r="AA46" s="8" t="str">
        <x:v>Consequences may extend beyond three months; reassess during weekly reviews. Initial likelihood horizon ends 2020-06-30; later information belongs to dated reviews.</x:v>
      </x:c>
      <x:c r="AB46" s="8" t="str">
        <x:v>Designated Executive Director</x:v>
      </x:c>
      <x:c r="AC46" s="8" t="str">
        <x:v>Cause, event and impact separated; wording aligned to pandemic onset. Source evidence and controls remain unverified. Decisions applied: D07; D11; D12–D14. See Decision Log for specific before/after values.</x:v>
      </x:c>
      <x:c r="AD46" s="8"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46" s="5" t="str">
        <x:v>Active</x:v>
      </x:c>
      <x:c r="AF46" s="5" t="str"/>
      <x:c r="AG46" s="39" t="d">
        <x:v>2020-04-01T00:00:00.000Z</x:v>
      </x:c>
      <x:c r="AH46" s="39" t="d">
        <x:v>2020-06-30T00:00:00.000Z</x:v>
      </x:c>
      <x:c r="AI46" s="5" t="str">
        <x:v>Proposed accountable role; individual to be designated</x:v>
      </x:c>
      <x:c r="AJ46" s="5" t="str">
        <x:v>D07; D11; D12; D13; D14; D18; D17</x:v>
      </x:c>
      <x:c r="AK46" s="5" t="str">
        <x:v>D17 agreed: Infrastructure placement; likelihood 3 and magnitude 3 provisional, assuming alternative support within acceptable time and cost. D18 conditional tolerability agreed.</x:v>
      </x:c>
    </x:row>
    <x:row r="47" ht="180" customHeight="1">
      <x:c r="A47" s="5" t="str">
        <x:v>R-043</x:v>
      </x:c>
      <x:c r="B47" s="5" t="str">
        <x:v>M3-E-03</x:v>
      </x:c>
      <x:c r="C47" s="5" t="str">
        <x:v>Delayed public support prolongs customer affordability pressure</x:v>
      </x:c>
      <x:c r="D47" s="5" t="str">
        <x:v>Marketing</x:v>
      </x:c>
      <x:c r="E47" s="5" t="str">
        <x:v>4.3</x:v>
      </x:c>
      <x:c r="F47" s="5" t="str">
        <x:v>E</x:v>
      </x:c>
      <x:c r="G47" s="5" t="str">
        <x:v>Provisional</x:v>
      </x:c>
      <x:c r="H47" s="5" t="str">
        <x:v>Consolidated</x:v>
      </x:c>
      <x:c r="I47" s="5" t="str">
        <x:v>Relief delivery delays, eligibility limits or processing problems affect customers.</x:v>
      </x:c>
      <x:c r="J47" s="5" t="str">
        <x:v>Customers do not receive expected public support in time to maintain insurance payments.</x:v>
      </x:c>
      <x:c r="K47" s="5" t="str">
        <x:v>Arrears, coverage reductions and cancellations increase.</x:v>
      </x:c>
      <x:c r="L47" s="5" t="str">
        <x:v>Customer income and premium continuity</x:v>
      </x:c>
      <x:c r="M47" s="5" t="str">
        <x:v>2020-04-01 to 2020-06-30</x:v>
      </x:c>
      <x:c r="N47" s="9"/>
      <x:c r="O47" s="9"/>
      <x:c r="P47" s="11" t="str">
        <x:f>IF(AE47="Consolidated","Consolidated",IF(OR(N47="",O47=""),"Not assessed",INDEX('Assessment Guide'!$B$5:$F$9,N47,O47)))</x:f>
        <x:v>Consolidated</x:v>
      </x:c>
      <x:c r="Q47" s="5" t="str">
        <x:v>Support may be delayed or unavailable, but specific programs and eligibility cannot be assumed at an unspecified onset date.</x:v>
      </x:c>
      <x:c r="R47" s="5" t="str">
        <x:v>Moderate assumes a material customer segment is affected. This is a driver of R-037 and R-038.</x:v>
      </x:c>
      <x:c r="S47" s="5" t="str">
        <x:v>Assumption from Sam: financial modelling, market research and customer incentives operate. None is specified as a tested control in the case.</x:v>
      </x:c>
      <x:c r="T47" s="5" t="str">
        <x:v>Mixed evidence: case arrangements plus explicit team assumptions; see Evidence and experience.</x:v>
      </x:c>
      <x:c r="U47" s="5" t="str">
        <x:v>These may support adaptation and retention, but cannot prevent customers’ financial difficulties or prove revenue resilience.</x:v>
      </x:c>
      <x:c r="V47" s="5" t="str">
        <x:v>Confirm scenario date, relevant programs and whether this warrants a separate risk record.</x:v>
      </x:c>
      <x:c r="W47" s="5" t="str">
        <x:v>Not assessed separately</x:v>
      </x:c>
      <x:c r="X47" s="5" t="str">
        <x:v>Consolidated, not resolved. Current assessment is held in R-037; R-038. Original content and ratings remain in source/history sheets.</x:v>
      </x:c>
      <x:c r="Y47" s="5" t="str">
        <x:v>Controllability is partial: internal preparation and decisions can reduce exposure, while external conditions may remain beyond our control.</x:v>
      </x:c>
      <x:c r="Z47" s="5" t="str">
        <x:v>Sustain customer income and premium continuity as part of meeting essential service and policyholder obligations. Business necessity does not itself make the exposure tolerable.</x:v>
      </x:c>
      <x:c r="AA47" s="5" t="str">
        <x:v>Consequences may extend beyond three months; reassess during weekly reviews. Initial likelihood horizon ends 2020-06-30; later information belongs to dated reviews.</x:v>
      </x:c>
      <x:c r="AB47" s="5" t="str">
        <x:v>Marketing Manager</x:v>
      </x:c>
      <x:c r="AC47" s="5" t="str">
        <x:v>Cause, event and impact separated; wording aligned to pandemic onset. Source evidence and controls remain unverified. Decisions applied: D09; D12–D14. See Decision Log for specific before/after values.</x:v>
      </x:c>
      <x:c r="AD47" s="5"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47" s="5" t="str">
        <x:v>Consolidated</x:v>
      </x:c>
      <x:c r="AF47" s="5" t="str">
        <x:v>R-037; R-038</x:v>
      </x:c>
      <x:c r="AG47" s="39" t="d">
        <x:v>2020-04-01T00:00:00.000Z</x:v>
      </x:c>
      <x:c r="AH47" s="39" t="d">
        <x:v>2020-06-30T00:00:00.000Z</x:v>
      </x:c>
      <x:c r="AI47" s="5" t="str">
        <x:v>Proposed accountable role; individual to be designated</x:v>
      </x:c>
      <x:c r="AJ47" s="5" t="str">
        <x:v>D09; D12; D13; D14</x:v>
      </x:c>
      <x:c r="AK47" s="5" t="str">
        <x:v>Consolidation agreed</x:v>
      </x:c>
    </x:row>
    <x:row r="48" ht="180" customHeight="1">
      <x:c r="A48" s="8" t="str">
        <x:v>R-044</x:v>
      </x:c>
      <x:c r="B48" s="8" t="str">
        <x:v>M4-S-01</x:v>
      </x:c>
      <x:c r="C48" s="8" t="str">
        <x:v>Repair and material shortages delay claims settlement</x:v>
      </x:c>
      <x:c r="D48" s="8" t="str">
        <x:v>Marketing</x:v>
      </x:c>
      <x:c r="E48" s="8" t="str">
        <x:v>4.4</x:v>
      </x:c>
      <x:c r="F48" s="8" t="str">
        <x:v>S</x:v>
      </x:c>
      <x:c r="G48" s="8" t="str">
        <x:v>Provisional</x:v>
      </x:c>
      <x:c r="H48" s="8" t="str">
        <x:v>Revised draft for review</x:v>
      </x:c>
      <x:c r="I48" s="8" t="str">
        <x:v>Supplier disruption restricts labour, parts, inspections or construction materials.</x:v>
      </x:c>
      <x:c r="J48" s="8" t="str">
        <x:v>Covered repairs take longer or cost more than expected.</x:v>
      </x:c>
      <x:c r="K48" s="8" t="str">
        <x:v>Claims costs and settlement times rise, reducing margins and customer satisfaction.</x:v>
      </x:c>
      <x:c r="L48" s="8" t="str">
        <x:v>Claims supply chain</x:v>
      </x:c>
      <x:c r="M48" s="8" t="str">
        <x:v>2020-04-01 to 2020-06-30</x:v>
      </x:c>
      <x:c r="N48" s="9" t="n">
        <x:v>4</x:v>
      </x:c>
      <x:c r="O48" s="9" t="n">
        <x:v>3</x:v>
      </x:c>
      <x:c r="P48" s="10" t="str">
        <x:f>IF(AE48="Consolidated","Consolidated",IF(OR(N48="",O48=""),"Not assessed",INDEX('Assessment Guide'!$B$5:$F$9,N48,O48)))</x:f>
        <x:v>High</x:v>
      </x:c>
      <x:c r="Q48" s="8" t="str">
        <x:v>Pandemic restrictions make repair disruption likely, but supplier and claim-volume evidence is limited.</x:v>
      </x:c>
      <x:c r="R48" s="8" t="str">
        <x:v>Moderate assumes manageable increases. Widespread cost escalation may be Major.</x:v>
      </x:c>
      <x:c r="S48" s="8" t="str">
        <x:v>Case: third-party service relationships, including backup, hosting, security advice and legal services. No supplier continuity assurance is specified.</x:v>
      </x:c>
      <x:c r="T48" s="8" t="str">
        <x:v>Mixed evidence: case arrangements plus explicit team assumptions; see Evidence and experience.</x:v>
      </x:c>
      <x:c r="U48" s="8" t="str">
        <x:v>Access to providers is not proof of resilience. Contracts, alternative capacity and service continuity need assessment.</x:v>
      </x:c>
      <x:c r="V48" s="8" t="str">
        <x:v>Repair capacity, cost forecasts, alternatives and settlement arrangements are unverified.</x:v>
      </x:c>
      <x:c r="W48" s="8" t="str">
        <x:v>Tolerable</x:v>
      </x:c>
      <x:c r="X48" s="8" t="str">
        <x:v>Tolerable provisionally for manageable repair delays and cost increases, assuming essential settlement obligations remain achievable and financial capacity can absorb the change. Severe shortages or unacceptable customer harm would overturn this decision.</x:v>
      </x:c>
      <x:c r="Y48" s="8" t="str">
        <x:v>Controllability is partial: internal preparation and decisions can reduce exposure, while external conditions may remain beyond our control.</x:v>
      </x:c>
      <x:c r="Z48" s="8" t="str">
        <x:v>Sustain claims supply chain as part of meeting essential service and policyholder obligations. Business necessity does not itself make the exposure tolerable.</x:v>
      </x:c>
      <x:c r="AA48" s="8" t="str">
        <x:v>Consequences may extend beyond three months; reassess during weekly reviews. Initial likelihood horizon ends 2020-06-30; later information belongs to dated reviews.</x:v>
      </x:c>
      <x:c r="AB48" s="8" t="str">
        <x:v>Claims Manager</x:v>
      </x:c>
      <x:c r="AC48" s="8" t="str">
        <x:v>Cause, event and impact separated; wording aligned to pandemic onset. Source evidence and controls remain unverified. Decisions applied: D11; D12–D14. See Decision Log for specific before/after values.</x:v>
      </x:c>
      <x:c r="AD48" s="8"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AE48" s="5" t="str">
        <x:v>Active</x:v>
      </x:c>
      <x:c r="AF48" s="5" t="str"/>
      <x:c r="AG48" s="39" t="d">
        <x:v>2020-04-01T00:00:00.000Z</x:v>
      </x:c>
      <x:c r="AH48" s="39" t="d">
        <x:v>2020-06-30T00:00:00.000Z</x:v>
      </x:c>
      <x:c r="AI48" s="5" t="str">
        <x:v>Proposed accountable role; individual to be designated</x:v>
      </x:c>
      <x:c r="AJ48" s="5" t="str">
        <x:v>D11; D12; D13; D14; D18</x:v>
      </x:c>
      <x:c r="AK48" s="5" t="str">
        <x:v>D18 project conclusion agreed; provisional assessment subject to stated controls, evidence and assumptions.</x:v>
      </x:c>
    </x:row>
    <x:row r="49" ht="180" customHeight="1">
      <x:c r="A49" s="5" t="str">
        <x:v>R-045</x:v>
      </x:c>
      <x:c r="B49" s="5" t="str">
        <x:v>M2-G-01</x:v>
      </x:c>
      <x:c r="C49" s="5" t="str">
        <x:v>Online services fail to meet customer expectations</x:v>
      </x:c>
      <x:c r="D49" s="5" t="str">
        <x:v>Marketing</x:v>
      </x:c>
      <x:c r="E49" s="5" t="str">
        <x:v>4.2</x:v>
      </x:c>
      <x:c r="F49" s="5" t="str">
        <x:v>G</x:v>
      </x:c>
      <x:c r="G49" s="5" t="str">
        <x:v>Approved</x:v>
      </x:c>
      <x:c r="H49" s="5" t="str">
        <x:v>Revised draft for review</x:v>
      </x:c>
      <x:c r="I49" s="5" t="str">
        <x:v>Digital service design and investment do not keep pace with changing customer needs.</x:v>
      </x:c>
      <x:c r="J49" s="5" t="str">
        <x:v>Customers find ITrustU's online services insufficient and choose competitors.</x:v>
      </x:c>
      <x:c r="K49" s="5" t="str">
        <x:v>New business and retention decline, weakening market position and premium income.</x:v>
      </x:c>
      <x:c r="L49" s="5" t="str">
        <x:v>Digital customer experience</x:v>
      </x:c>
      <x:c r="M49" s="5" t="str">
        <x:v>2020-04-01 to 2020-06-30</x:v>
      </x:c>
      <x:c r="N49" s="9" t="n">
        <x:v>4</x:v>
      </x:c>
      <x:c r="O49" s="9" t="n">
        <x:v>3</x:v>
      </x:c>
      <x:c r="P49" s="11" t="str">
        <x:f>IF(AE49="Consolidated","Consolidated",IF(OR(N49="",O49=""),"Not assessed",INDEX('Assessment Guide'!$B$5:$F$9,N49,O49)))</x:f>
        <x:v>High</x:v>
      </x:c>
      <x:c r="Q49" s="5" t="str">
        <x:v>A rapid shift online makes a capability mismatch likely, but customer research is needed.</x:v>
      </x:c>
      <x:c r="R49" s="5" t="str">
        <x:v>Moderate assumes manageable losses. Network outages and capacity are assessed separately in Infrastructure.</x:v>
      </x:c>
      <x:c r="S49" s="5" t="str">
        <x:v>Assumption from Sam: financial modelling, market research and customer incentives operate. None is specified as a tested control in the case.</x:v>
      </x:c>
      <x:c r="T49" s="5" t="str">
        <x:v>Mixed evidence: case arrangements plus explicit team assumptions; see Evidence and experience.</x:v>
      </x:c>
      <x:c r="U49" s="5" t="str">
        <x:v>These may support adaptation and retention, but cannot prevent customers’ financial difficulties or prove revenue resilience.</x:v>
      </x:c>
      <x:c r="V49" s="5" t="str">
        <x:v>Market research is reported; digital capability assessments and customer evidence need verification.</x:v>
      </x:c>
      <x:c r="W49" s="5" t="str">
        <x:v>Not tolerable</x:v>
      </x:c>
      <x:c r="X49" s="5" t="str">
        <x:v>Not tolerable on the assumption that a material digital-capability gap persistently undermines essential customer access and retention. Research without appropriate service capability does not address the exposure.</x:v>
      </x:c>
      <x:c r="Y49" s="5" t="str">
        <x:v>Controllability is substantial for the identified internal cause, subject to available resources and verified implementation.</x:v>
      </x:c>
      <x:c r="Z49" s="5" t="str">
        <x:v>Sustain digital customer experience as part of meeting essential service and policyholder obligations. Business necessity does not itself make the exposure tolerable.</x:v>
      </x:c>
      <x:c r="AA49" s="5" t="str">
        <x:v>Consequences may extend beyond three months; reassess during weekly reviews. Initial likelihood horizon ends 2020-06-30; later information belongs to dated reviews.</x:v>
      </x:c>
      <x:c r="AB49" s="5" t="str">
        <x:v>Marketing Manager</x:v>
      </x:c>
      <x:c r="AC49" s="5" t="str">
        <x:v>Cause, event and impact separated; wording aligned to pandemic onset. Source evidence and controls remain unverified. Proposed code M5-T-01 to M2-G-01 based on primary cause or index placement. M5 to M2 and customer-expectations focus agreed with Chris; source G remains proposed. D01: Chris approved the Governance and Processes classification on 2026-10-18 (project review). Scores and other assessments remain provisional. Decisions applied: D01; M5 decision; D12–D14. See Decision Log for specific before/after values.</x:v>
      </x:c>
      <x:c r="AD49" s="5"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AE49" s="5" t="str">
        <x:v>Active</x:v>
      </x:c>
      <x:c r="AF49" s="5" t="str"/>
      <x:c r="AG49" s="39" t="d">
        <x:v>2020-04-01T00:00:00.000Z</x:v>
      </x:c>
      <x:c r="AH49" s="39" t="d">
        <x:v>2020-06-30T00:00:00.000Z</x:v>
      </x:c>
      <x:c r="AI49" s="5" t="str">
        <x:v>Proposed accountable role; individual to be designated</x:v>
      </x:c>
      <x:c r="AJ49" s="5" t="str">
        <x:v>D01; M5 decision; D12; D13; D14; D18</x:v>
      </x:c>
      <x:c r="AK49" s="5" t="str">
        <x:v>D18 project conclusion agreed; provisional assessment subject to stated controls, evidence and assumptions.</x:v>
      </x:c>
    </x:row>
  </x:sheetData>
  <x:conditionalFormatting sqref="P6:P49">
    <x:cfRule type="cellIs" dxfId="0" priority="1" operator="equal">
      <x:formula>"Low"</x:formula>
    </x:cfRule>
    <x:cfRule type="cellIs" dxfId="1" priority="2" operator="equal">
      <x:formula>"Moderate"</x:formula>
    </x:cfRule>
    <x:cfRule type="cellIs" dxfId="2" priority="3" operator="equal">
      <x:formula>"High"</x:formula>
    </x:cfRule>
    <x:cfRule type="cellIs" dxfId="3" priority="4" operator="equal">
      <x:formula>"Extreme"</x:formula>
    </x:cfRule>
  </x:conditionalFormatting>
  <x:dataValidations count="5">
    <x:dataValidation type="whole" operator="between" sqref="N6:O49">
      <x:formula1>1</x:formula1>
      <x:formula2>5</x:formula2>
    </x:dataValidation>
    <x:dataValidation type="list" sqref="F6:F49">
      <x:formula1>"P,T,S,E,G,C"</x:formula1>
    </x:dataValidation>
    <x:dataValidation type="list" sqref="G6:G49">
      <x:formula1>"Provisional,Approved"</x:formula1>
    </x:dataValidation>
    <x:dataValidation type="list" sqref="W6:W49">
      <x:formula1>"Awaiting assessment,Tolerable,Not tolerable,Not assessed separately"</x:formula1>
    </x:dataValidation>
    <x:dataValidation type="list" sqref="AE6:AE49">
      <x:formula1>"Active,Consolidated,Retired"</x:formula1>
    </x:dataValidation>
  </x:dataValidations>
  <x:pageMargins left="0.7" right="0.7" top="0.75" bottom="0.75" header="0.3" footer="0.3"/>
  <x:tableParts count="1">
    <x:tablePart xmlns:r="http://schemas.openxmlformats.org/officeDocument/2006/relationships" r:id="R577b491fc85348b9"/>
  </x:tableParts>
</x:worksheet>
</file>

<file path=xl/worksheets/sheet4.xml><?xml version="1.0" encoding="utf-8"?>
<x:worksheet xmlns:x="http://schemas.openxmlformats.org/spreadsheetml/2006/main">
  <x:sheetPr>
    <x:tabColor rgb="FFC0504D"/>
  </x:sheetPr>
  <x:sheetViews>
    <x:sheetView showGridLines="0" workbookViewId="0">
      <x:pane ySplit="5" topLeftCell="A6" activePane="bottomLeft" state="frozen"/>
    </x:sheetView>
  </x:sheetViews>
  <x:sheetFormatPr defaultRowHeight="15"/>
  <x:cols>
    <x:col min="1" max="1" width="13" hidden="0" customWidth="1"/>
    <x:col min="2" max="2" width="22" hidden="0" customWidth="1"/>
    <x:col min="3" max="3" width="44" hidden="0" customWidth="1"/>
    <x:col min="4" max="4" width="58" hidden="0" customWidth="1"/>
    <x:col min="5" max="5" width="85" hidden="0" customWidth="1"/>
    <x:col min="6" max="6" width="18" hidden="0" customWidth="1"/>
    <x:col min="7" max="7" width="65" hidden="0" customWidth="1"/>
  </x:cols>
  <x:sheetData>
    <x:row r="1">
      <x:c r="A1" s="1"/>
      <x:c r="B1" s="1"/>
      <x:c r="C1" s="1"/>
      <x:c r="D1" s="1"/>
      <x:c r="E1" s="1"/>
      <x:c r="F1" s="1"/>
      <x:c r="G1" s="1"/>
      <x:c r="H1" s="1"/>
    </x:row>
    <x:row r="2">
      <x:c r="A2" s="2" t="str">
        <x:v>Review Decisions</x:v>
      </x:c>
      <x:c r="B2" s="1"/>
      <x:c r="C2" s="1"/>
      <x:c r="D2" s="1"/>
      <x:c r="E2" s="1"/>
      <x:c r="F2" s="1"/>
      <x:c r="G2" s="1"/>
      <x:c r="H2" s="1"/>
    </x:row>
    <x:row r="3" ht="24" customHeight="1">
      <x:c r="A3" s="1" t="str">
        <x:v>Resolve these grouped questions before finalizing the register. Decisions do not automatically overwrite risk records.</x:v>
      </x:c>
      <x:c r="B3" s="1"/>
      <x:c r="C3" s="1"/>
      <x:c r="D3" s="1"/>
      <x:c r="E3" s="1"/>
      <x:c r="F3" s="1"/>
      <x:c r="G3" s="1"/>
      <x:c r="H3" s="1"/>
    </x:row>
    <x:row r="5" ht="42" customHeight="1">
      <x:c r="A5" s="7" t="str">
        <x:v>Decision ID</x:v>
      </x:c>
      <x:c r="B5" s="7" t="str">
        <x:v>Topic</x:v>
      </x:c>
      <x:c r="C5" s="7" t="str">
        <x:v>Affected records</x:v>
      </x:c>
      <x:c r="D5" s="7" t="str">
        <x:v>Question</x:v>
      </x:c>
      <x:c r="E5" s="7" t="str">
        <x:v>Proposed treatment</x:v>
      </x:c>
      <x:c r="F5" s="7" t="str">
        <x:v>Status</x:v>
      </x:c>
      <x:c r="G5" s="7" t="str">
        <x:v>Your decision or notes</x:v>
      </x:c>
    </x:row>
    <x:row r="6" ht="125" customHeight="1">
      <x:c r="A6" s="8" t="str">
        <x:v>D01</x:v>
      </x:c>
      <x:c r="B6" s="8" t="str">
        <x:v>Classification</x:v>
      </x:c>
      <x:c r="C6" s="8" t="str">
        <x:v>R-003, R-014, R-017, R-024, R-027, R-030, R-034, R-036, R-045</x:v>
      </x:c>
      <x:c r="D6" s="8" t="str">
        <x:v>Approve proposed Governance and Processes source changes.</x:v>
      </x:c>
      <x:c r="E6" s="8" t="str">
        <x:v>Use G where unclear procedures, oversight or design are the primary cause. R-045’s M2 move is agreed; G is proposed.</x:v>
      </x:c>
      <x:c r="F6" s="9" t="str">
        <x:v>Agreed</x:v>
      </x:c>
      <x:c r="G6" s="9" t="str">
        <x:v>Approved: nine G classifications. Later consolidation of R-024/R-027 does not resolve their underlying weaknesses.</x:v>
      </x:c>
    </x:row>
    <x:row r="7" ht="125" customHeight="1">
      <x:c r="A7" s="5" t="str">
        <x:v>D02</x:v>
      </x:c>
      <x:c r="B7" s="5" t="str">
        <x:v>Classification</x:v>
      </x:c>
      <x:c r="C7" s="5" t="str">
        <x:v>R-005</x:v>
      </x:c>
      <x:c r="D7" s="5" t="str">
        <x:v>Confirm Conduct versus Technology for fraudulent payouts.</x:v>
      </x:c>
      <x:c r="E7" s="5" t="str">
        <x:v>Use C for deliberate deception; technology remains a possible enabling cause. Retain T only if the defined event specifically originates in a technical compromise.</x:v>
      </x:c>
      <x:c r="F7" s="9" t="str">
        <x:v>Agreed</x:v>
      </x:c>
      <x:c r="G7" s="9" t="str">
        <x:v>Approved: R-005 uses C for deliberate deception; F3-C-01. Record ID unchanged.</x:v>
      </x:c>
    </x:row>
    <x:row r="8" ht="125" customHeight="1">
      <x:c r="A8" s="8" t="str">
        <x:v>D03</x:v>
      </x:c>
      <x:c r="B8" s="8" t="str">
        <x:v>Overlap</x:v>
      </x:c>
      <x:c r="C8" s="8" t="str">
        <x:v>R-020, R-033</x:v>
      </x:c>
      <x:c r="D8" s="8" t="str">
        <x:v>Retain system compromise and information disclosure separately?</x:v>
      </x:c>
      <x:c r="E8" s="8" t="str">
        <x:v>Retain provisionally with distinct events; a breach may affect both. Do not add losses across the two without identifying shared incidents.</x:v>
      </x:c>
      <x:c r="F8" s="9" t="str">
        <x:v>Agreed</x:v>
      </x:c>
      <x:c r="G8" s="9" t="str">
        <x:v>Approved only with distinct boundaries: R-020 system integrity/operations; R-033 customer information exposure. Shared incident losses must not be added twice.</x:v>
      </x:c>
    </x:row>
    <x:row r="9" ht="125" customHeight="1">
      <x:c r="A9" s="5" t="str">
        <x:v>D04</x:v>
      </x:c>
      <x:c r="B9" s="5" t="str">
        <x:v>Overlap</x:v>
      </x:c>
      <x:c r="C9" s="5" t="str">
        <x:v>R-021, R-022, R-024, R-025, R-027</x:v>
      </x:c>
      <x:c r="D9" s="5" t="str">
        <x:v>Are assurance and coordination failures separate significant events or causes of outages?</x:v>
      </x:c>
      <x:c r="E9" s="5" t="str">
        <x:v>Keep all original IDs pending review. Consider consolidating R-024 and R-027 into causes/controls of outage and recovery records if no separate assessment is useful.</x:v>
      </x:c>
      <x:c r="F9" s="9" t="str">
        <x:v>Agreed</x:v>
      </x:c>
      <x:c r="G9" s="9" t="str">
        <x:v>Approved: retain R-021/R-022/R-025. R-024 and R-027 consolidated, with testing and procedure weaknesses mapped to retained records. R-025 reassessment is a follow-up.</x:v>
      </x:c>
    </x:row>
    <x:row r="10" ht="125" customHeight="1">
      <x:c r="A10" s="8" t="str">
        <x:v>D05</x:v>
      </x:c>
      <x:c r="B10" s="8" t="str">
        <x:v>Overlap</x:v>
      </x:c>
      <x:c r="C10" s="8" t="str">
        <x:v>R-028, R-035</x:v>
      </x:c>
      <x:c r="D10" s="8" t="str">
        <x:v>Keep demand-driven claims backlogs separate from staffing-driven routine service delays?</x:v>
      </x:c>
      <x:c r="E10" s="8" t="str">
        <x:v>Retain only if the service scopes, causes and evidence are distinct. Otherwise merge with documented retained/retired IDs.</x:v>
      </x:c>
      <x:c r="F10" s="9" t="str">
        <x:v>Agreed</x:v>
      </x:c>
      <x:c r="G10" s="9" t="str">
        <x:v>Approved: retain both. R-028 is demand surge despite planned staffing; R-035 is staff shortage disrupting normal-demand services.</x:v>
      </x:c>
    </x:row>
    <x:row r="11" ht="125" customHeight="1">
      <x:c r="A11" s="5" t="str">
        <x:v>D06</x:v>
      </x:c>
      <x:c r="B11" s="5" t="str">
        <x:v>Overlap</x:v>
      </x:c>
      <x:c r="C11" s="5" t="str">
        <x:v>R-030, R-036</x:v>
      </x:c>
      <x:c r="D11" s="5" t="str">
        <x:v>Keep coverage misinformation separate from routine service-commitment confusion?</x:v>
      </x:c>
      <x:c r="E11" s="5" t="str">
        <x:v>Use R-030 for material coverage misinformation and R-036 for inconsistent service timelines. Review whether separate records add value.</x:v>
      </x:c>
      <x:c r="F11" s="9" t="str">
        <x:v>Agreed</x:v>
      </x:c>
      <x:c r="G11" s="9" t="str">
        <x:v>Approved: R-030 coverage accuracy; R-036 service timelines, availability and support channels. Remove coverage overlap.</x:v>
      </x:c>
    </x:row>
    <x:row r="12" ht="125" customHeight="1">
      <x:c r="A12" s="8" t="str">
        <x:v>D07</x:v>
      </x:c>
      <x:c r="B12" s="8" t="str">
        <x:v>Group support</x:v>
      </x:c>
      <x:c r="C12" s="8" t="str">
        <x:v>R-002, R-042</x:v>
      </x:c>
      <x:c r="D12" s="8" t="str">
        <x:v>Is there a distinct nonfinancial group-support event?</x:v>
      </x:c>
      <x:c r="E12" s="8" t="str">
        <x:v>R-002 covers funding. R-042 provisionally covers expertise, assurance and strategic flexibility. Merge if unsupported by the case.</x:v>
      </x:c>
      <x:c r="F12" s="9" t="str">
        <x:v>Agreed</x:v>
      </x:c>
      <x:c r="G12" s="9" t="str">
        <x:v>Approved: retain R-002 for funding and R-042 for nonfinancial support. R-042 source S. FIRM placement and reassessment remain follow-ups.</x:v>
      </x:c>
    </x:row>
    <x:row r="13" ht="125" customHeight="1">
      <x:c r="A13" s="5" t="str">
        <x:v>D08</x:v>
      </x:c>
      <x:c r="B13" s="5" t="str">
        <x:v>Product scope</x:v>
      </x:c>
      <x:c r="C13" s="5" t="str">
        <x:v>R-011, R-038</x:v>
      </x:c>
      <x:c r="D13" s="5" t="str">
        <x:v>Confirm covered products and small-business exposure.</x:v>
      </x:c>
      <x:c r="E13" s="5" t="str">
        <x:v>Do not assume a separate medical or commercial product. R-038 uses business owners’ personal policies pending case confirmation.</x:v>
      </x:c>
      <x:c r="F13" s="9" t="str">
        <x:v>Agreed</x:v>
      </x:c>
      <x:c r="G13" s="9" t="str">
        <x:v>Approved after case review: more than 100 small businesses are insured. R-038 covers business clients without assuming specific policies. R-011 distinguishes covered/payable claims from submissions.</x:v>
      </x:c>
    </x:row>
    <x:row r="14" ht="125" customHeight="1">
      <x:c r="A14" s="8" t="str">
        <x:v>D09</x:v>
      </x:c>
      <x:c r="B14" s="8" t="str">
        <x:v>Scope and timing</x:v>
      </x:c>
      <x:c r="C14" s="8" t="str">
        <x:v>R-043</x:v>
      </x:c>
      <x:c r="D14" s="8" t="str">
        <x:v>Is delayed public support a separate risk or a cause of customer lapses?</x:v>
      </x:c>
      <x:c r="E14" s="8" t="str">
        <x:v>Retain Nathan’s customer-support interpretation pending review; Lester instead described support to ITrustU. No program availability or eligibility is assumed.</x:v>
      </x:c>
      <x:c r="F14" s="9" t="str">
        <x:v>Agreed</x:v>
      </x:c>
      <x:c r="G14" s="9" t="str">
        <x:v>Approved: follow Nathan’s customer meaning. R-043 consolidated into affordability causes in R-037 and R-038, not assistance to ITrustU.</x:v>
      </x:c>
    </x:row>
    <x:row r="15" ht="125" customHeight="1">
      <x:c r="A15" s="5" t="str">
        <x:v>D10</x:v>
      </x:c>
      <x:c r="B15" s="5" t="str">
        <x:v>Rating assumptions</x:v>
      </x:c>
      <x:c r="C15" s="5" t="str">
        <x:v>R-008, R-010, R-020, R-022, R-033</x:v>
      </x:c>
      <x:c r="D15" s="5" t="str">
        <x:v>Are the severe consequence scenarios credible for ITrustU?</x:v>
      </x:c>
      <x:c r="E15" s="5" t="str">
        <x:v>Magnitude 5 is conditional on large recoveries, catastrophic concentration, broad compromise, prolonged outage or widespread sensitive-data harm respectively. Confirm scale before finalizing.</x:v>
      </x:c>
      <x:c r="F15" s="9" t="str">
        <x:v>Agreed</x:v>
      </x:c>
      <x:c r="G15" s="9" t="str">
        <x:v>Approved: M4 for R-008/R-010/R-020/R-022; M5 for explicitly widespread serious-harm disclosure in R-033. R-033 likelihood requires reassessment.</x:v>
      </x:c>
    </x:row>
    <x:row r="16" ht="125" customHeight="1">
      <x:c r="A16" s="8" t="str">
        <x:v>D11</x:v>
      </x:c>
      <x:c r="B16" s="8" t="str">
        <x:v>Assessment basis</x:v>
      </x:c>
      <x:c r="C16" s="8" t="str">
        <x:v>All remaining draft rows</x:v>
      </x:c>
      <x:c r="D16" s="8" t="str">
        <x:v>Review proposed score changes and retained ratings in batches.</x:v>
      </x:c>
      <x:c r="E16" s="8" t="str">
        <x:v>Edit History identifies all old/new pairs. Rationales use the agreed three-month horizon and event focus; these are judgments, not measured probabilities.</x:v>
      </x:c>
      <x:c r="F16" s="9" t="str">
        <x:v>Agreed</x:v>
      </x:c>
      <x:c r="G16" s="9" t="str">
        <x:v>Approach approved: reassess changed scenarios using agreed criteria and flag material judgments. Remaining ratings are draft judgments, not blanket approved scores.</x:v>
      </x:c>
    </x:row>
    <x:row r="17" ht="125" customHeight="1">
      <x:c r="A17" s="5" t="str">
        <x:v>D12</x:v>
      </x:c>
      <x:c r="B17" s="5" t="str">
        <x:v>Controls and tolerability</x:v>
      </x:c>
      <x:c r="C17" s="5" t="str">
        <x:v>All risks</x:v>
      </x:c>
      <x:c r="D17" s="5" t="str">
        <x:v>Confirm case evidence and then complete tolerability decisions.</x:v>
      </x:c>
      <x:c r="E17" s="5" t="str">
        <x:v>No control operating effectiveness is verified. All tolerability entries remain Awaiting assessment with risk-specific evidence gaps. This is an unfinished assessment, not acceptance.</x:v>
      </x:c>
      <x:c r="F17" s="9" t="str">
        <x:v>Agreed</x:v>
      </x:c>
      <x:c r="G17" s="9" t="str">
        <x:v>Approach approved: distinguish case facts, team assumptions, undocumented and proposed controls. Draft tolerability decisions use explicit assumptions and remain subject to review.</x:v>
      </x:c>
    </x:row>
    <x:row r="18" ht="125" customHeight="1">
      <x:c r="A18" s="8" t="str">
        <x:v>D13</x:v>
      </x:c>
      <x:c r="B18" s="8" t="str">
        <x:v>Evidence date</x:v>
      </x:c>
      <x:c r="C18" s="8" t="str">
        <x:v>R-005, R-010, R-020 and cited examples</x:v>
      </x:c>
      <x:c r="D18" s="8" t="str">
        <x:v>Confirm an exact pandemic-onset assessment date and eligible evidence.</x:v>
      </x:c>
      <x:c r="E18" s="8" t="str">
        <x:v>Keep post-onset examples in original sources only. Exclude 2025/2026 cases from current reasoning; check 2020 publication dates against the chosen date.</x:v>
      </x:c>
      <x:c r="F18" s="9" t="str">
        <x:v>Agreed</x:v>
      </x:c>
      <x:c r="G18" s="9" t="str">
        <x:v>Approved: assessment as of 2020-04-01; event horizon through 2020-06-30. Exclude later evidence from initial reasoning; use dated reviews for subsequent information.</x:v>
      </x:c>
    </x:row>
    <x:row r="19" ht="125" customHeight="1">
      <x:c r="A19" s="5" t="str">
        <x:v>D14</x:v>
      </x:c>
      <x:c r="B19" s="5" t="str">
        <x:v>Ownership</x:v>
      </x:c>
      <x:c r="C19" s="5" t="str">
        <x:v>All risks</x:v>
      </x:c>
      <x:c r="D19" s="5" t="str">
        <x:v>Assign organizational risk owners.</x:v>
      </x:c>
      <x:c r="E19" s="5" t="str">
        <x:v>Use accountable ITrustU roles, not the student authors. Owners are left Unassigned pending role confirmation.</x:v>
      </x:c>
      <x:c r="F19" s="9" t="str">
        <x:v>Agreed</x:v>
      </x:c>
      <x:c r="G19" s="9" t="str">
        <x:v>Approved: one accountable organizational role per active risk. Actual individuals remain to be designated; student authors are not organizational owners.</x:v>
      </x:c>
    </x:row>
    <x:row r="20" ht="125" customHeight="1">
      <x:c r="A20" s="33" t="str">
        <x:v>D15</x:v>
      </x:c>
      <x:c r="B20" s="33" t="str">
        <x:v>Recovery reassessment</x:v>
      </x:c>
      <x:c r="C20" s="33" t="str">
        <x:v>R-025</x:v>
      </x:c>
      <x:c r="D20" s="33" t="str">
        <x:v>Approve G classification and magnitude 4 for broadened delayed restoration?</x:v>
      </x:c>
      <x:c r="E20" s="33" t="str">
        <x:v>Proposed I4-G-02, L3/M4 = High. Prior I4-P-01, L3/M3 = Moderate. Incorporates R-024/R-027 weaknesses; I4-G-01 remains reserved for R-027.</x:v>
      </x:c>
      <x:c r="F20" s="40" t="str">
        <x:v>Agreed</x:v>
      </x:c>
      <x:c r="G20" s="40" t="str">
        <x:v>D15 agreed: I4-G-02, Governance and Processes; likelihood 3 provisional and magnitude 4, High by matrix.</x:v>
      </x:c>
    </x:row>
    <x:row r="21" ht="125" customHeight="1">
      <x:c r="A21" s="33" t="str">
        <x:v>D16</x:v>
      </x:c>
      <x:c r="B21" s="33" t="str">
        <x:v>Disclosure scenario</x:v>
      </x:c>
      <x:c r="C21" s="33" t="str">
        <x:v>R-033</x:v>
      </x:c>
      <x:c r="D21" s="33" t="str">
        <x:v>Approve likelihood 2 for the widespread serious-harm scenario?</x:v>
      </x:c>
      <x:c r="E21" s="33" t="str">
        <x:v>Proposed L2/M5 = High, previously L3/M5 = Extreme. The scenario is narrower and more severe than any disclosure. Evidence about accessible data volumes and pathways remains limited.</x:v>
      </x:c>
      <x:c r="F21" s="40" t="str">
        <x:v>Agreed</x:v>
      </x:c>
      <x:c r="G21" s="40" t="str">
        <x:v>D16 agreed: retain likelihood 3 provisionally and magnitude 5, Extreme by categorical matrix. Proposed reduction to likelihood 2 rejected; narrowing the scenario alone is insufficient.</x:v>
      </x:c>
    </x:row>
    <x:row r="22" ht="125" customHeight="1">
      <x:c r="A22" s="33" t="str">
        <x:v>D17</x:v>
      </x:c>
      <x:c r="B22" s="33" t="str">
        <x:v>Group support reassessment</x:v>
      </x:c>
      <x:c r="C22" s="33" t="str">
        <x:v>R-042</x:v>
      </x:c>
      <x:c r="D22" s="33" t="str">
        <x:v>Approve Infrastructure placement and magnitude 3 for nonfinancial Tiva support?</x:v>
      </x:c>
      <x:c r="E22" s="33" t="str">
        <x:v>Current source change to S is agreed (M3-S-01). Propose I4-S-02 under provider continuity, with L3/M3 = Moderate rather than High. Assumes alternatives preserve essentials; dependence remains unconfirmed.</x:v>
      </x:c>
      <x:c r="F22" s="40" t="str">
        <x:v>Agreed</x:v>
      </x:c>
      <x:c r="G22" s="40" t="str">
        <x:v>D17 agreed: Infrastructure 2.4, I4-S-02; likelihood 3 and magnitude 3, Moderate. Conditional on alternatives within acceptable time and cost.</x:v>
      </x:c>
    </x:row>
    <x:row r="23" ht="125" customHeight="1">
      <x:c r="A23" s="33" t="str">
        <x:v>D18</x:v>
      </x:c>
      <x:c r="B23" s="33" t="str">
        <x:v>Tolerability review</x:v>
      </x:c>
      <x:c r="C23" s="33" t="str">
        <x:v>All active risks</x:v>
      </x:c>
      <x:c r="D23" s="33" t="str">
        <x:v>Review drafted tolerability conclusions and their conditions.</x:v>
      </x:c>
      <x:c r="E23" s="33" t="str">
        <x:v>D12 approved the method, not each outcome. Tolerable judgments depend on stated capacity and continuity assumptions. Not tolerable judgments depend on stated material control gaps. Financial uncertainty remains Awaiting assessment.</x:v>
      </x:c>
      <x:c r="F23" s="40" t="str">
        <x:v>Agreed</x:v>
      </x:c>
      <x:c r="G23" s="40" t="str">
        <x:v>D18 agreed: 6 provisionally Tolerable, 24 provisionally Not tolerable, 11 Awaiting assessment. Staffing R-015/R-016 moved to Not tolerable. Aggregate premium-income risks assessed together; financial evidence gaps remain unresolved.</x:v>
      </x:c>
    </x:row>
  </x:sheetData>
  <x:dataValidations count="1">
    <x:dataValidation type="list" sqref="F6:F23">
      <x:formula1>"Open,Agreed,Rework,Deferred"</x:formula1>
    </x:dataValidation>
  </x:dataValidations>
  <x:pageMargins left="0.7" right="0.7" top="0.75" bottom="0.75" header="0.3" footer="0.3"/>
  <x:tableParts count="1">
    <x:tablePart xmlns:r="http://schemas.openxmlformats.org/officeDocument/2006/relationships" r:id="R433d22d6834a4a6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28" hidden="0" customWidth="1"/>
    <x:col min="4" max="4" width="18" hidden="0" customWidth="1"/>
    <x:col min="5" max="5" width="18" hidden="0" customWidth="1"/>
    <x:col min="6" max="6" width="18" hidden="0" customWidth="1"/>
  </x:cols>
  <x:sheetData>
    <x:row r="1">
      <x:c r="A1" s="1"/>
      <x:c r="B1" s="1"/>
      <x:c r="C1" s="1"/>
      <x:c r="D1" s="1"/>
      <x:c r="E1" s="1"/>
      <x:c r="F1" s="1"/>
      <x:c r="G1" s="1"/>
      <x:c r="H1" s="1"/>
    </x:row>
    <x:row r="2">
      <x:c r="A2" s="2" t="str">
        <x:v>Assessment criteria</x:v>
      </x:c>
      <x:c r="B2" s="1"/>
      <x:c r="C2" s="1"/>
      <x:c r="D2" s="1"/>
      <x:c r="E2" s="1"/>
      <x:c r="F2" s="1"/>
      <x:c r="G2" s="1"/>
      <x:c r="H2" s="1"/>
    </x:row>
    <x:row r="3" ht="24" customHeight="1">
      <x:c r="A3" s="1" t="str">
        <x:v>Agreed for this project. Initial three-month likelihood; full credible consequences; inherent assessment before credit for controls.</x:v>
      </x:c>
      <x:c r="B3" s="1"/>
      <x:c r="C3" s="1"/>
      <x:c r="D3" s="1"/>
      <x:c r="E3" s="1"/>
      <x:c r="F3" s="1"/>
      <x:c r="G3" s="1"/>
      <x:c r="H3" s="1"/>
    </x:row>
    <x:row r="4" ht="30" customHeight="1">
      <x:c r="A4" s="21" t="str">
        <x:v>Likelihood / Magnitude</x:v>
      </x:c>
      <x:c r="B4" s="21" t="n">
        <x:v>1</x:v>
      </x:c>
      <x:c r="C4" s="21" t="n">
        <x:v>2</x:v>
      </x:c>
      <x:c r="D4" s="21" t="n">
        <x:v>3</x:v>
      </x:c>
      <x:c r="E4" s="21" t="n">
        <x:v>4</x:v>
      </x:c>
      <x:c r="F4" s="21" t="n">
        <x:v>5</x:v>
      </x:c>
    </x:row>
    <x:row r="5" ht="30" customHeight="1">
      <x:c r="A5" s="1" t="n">
        <x:v>1</x:v>
      </x:c>
      <x:c r="B5" s="22" t="str">
        <x:v>Low</x:v>
      </x:c>
      <x:c r="C5" s="22" t="str">
        <x:v>Low</x:v>
      </x:c>
      <x:c r="D5" s="22" t="str">
        <x:v>Low</x:v>
      </x:c>
      <x:c r="E5" s="23" t="str">
        <x:v>Moderate</x:v>
      </x:c>
      <x:c r="F5" s="24" t="str">
        <x:v>High</x:v>
      </x:c>
    </x:row>
    <x:row r="6" ht="30" customHeight="1">
      <x:c r="A6" s="1" t="n">
        <x:v>2</x:v>
      </x:c>
      <x:c r="B6" s="22" t="str">
        <x:v>Low</x:v>
      </x:c>
      <x:c r="C6" s="22" t="str">
        <x:v>Low</x:v>
      </x:c>
      <x:c r="D6" s="23" t="str">
        <x:v>Moderate</x:v>
      </x:c>
      <x:c r="E6" s="24" t="str">
        <x:v>High</x:v>
      </x:c>
      <x:c r="F6" s="24" t="str">
        <x:v>High</x:v>
      </x:c>
    </x:row>
    <x:row r="7" ht="30" customHeight="1">
      <x:c r="A7" s="1" t="n">
        <x:v>3</x:v>
      </x:c>
      <x:c r="B7" s="22" t="str">
        <x:v>Low</x:v>
      </x:c>
      <x:c r="C7" s="23" t="str">
        <x:v>Moderate</x:v>
      </x:c>
      <x:c r="D7" s="23" t="str">
        <x:v>Moderate</x:v>
      </x:c>
      <x:c r="E7" s="24" t="str">
        <x:v>High</x:v>
      </x:c>
      <x:c r="F7" s="25" t="str">
        <x:v>Extreme</x:v>
      </x:c>
    </x:row>
    <x:row r="8" ht="30" customHeight="1">
      <x:c r="A8" s="1" t="n">
        <x:v>4</x:v>
      </x:c>
      <x:c r="B8" s="22" t="str">
        <x:v>Low</x:v>
      </x:c>
      <x:c r="C8" s="23" t="str">
        <x:v>Moderate</x:v>
      </x:c>
      <x:c r="D8" s="24" t="str">
        <x:v>High</x:v>
      </x:c>
      <x:c r="E8" s="25" t="str">
        <x:v>Extreme</x:v>
      </x:c>
      <x:c r="F8" s="25" t="str">
        <x:v>Extreme</x:v>
      </x:c>
    </x:row>
    <x:row r="9" ht="30" customHeight="1">
      <x:c r="A9" s="1" t="n">
        <x:v>5</x:v>
      </x:c>
      <x:c r="B9" s="23" t="str">
        <x:v>Moderate</x:v>
      </x:c>
      <x:c r="C9" s="23" t="str">
        <x:v>Moderate</x:v>
      </x:c>
      <x:c r="D9" s="24" t="str">
        <x:v>High</x:v>
      </x:c>
      <x:c r="E9" s="25" t="str">
        <x:v>Extreme</x:v>
      </x:c>
      <x:c r="F9" s="25" t="str">
        <x:v>Extreme</x:v>
      </x:c>
    </x:row>
    <x:row r="10">
      <x:c r="A10" s="1"/>
      <x:c r="B10" s="1"/>
      <x:c r="C10" s="1"/>
      <x:c r="D10" s="1"/>
      <x:c r="E10" s="1"/>
      <x:c r="F10" s="1"/>
    </x:row>
    <x:row r="11">
      <x:c r="A11" s="1"/>
      <x:c r="B11" s="1"/>
      <x:c r="C11" s="1"/>
      <x:c r="D11" s="1"/>
      <x:c r="E11" s="1"/>
      <x:c r="F11" s="1"/>
    </x:row>
    <x:row r="12">
      <x:c r="A12" s="21" t="str">
        <x:v>Score</x:v>
      </x:c>
      <x:c r="B12" s="21" t="str">
        <x:v>Likelihood</x:v>
      </x:c>
      <x:c r="C12" s="21" t="str">
        <x:v>Three-month probability</x:v>
      </x:c>
      <x:c r="D12" s="1"/>
      <x:c r="E12" s="1"/>
      <x:c r="F12" s="1"/>
    </x:row>
    <x:row r="13">
      <x:c r="A13" s="1" t="n">
        <x:v>1</x:v>
      </x:c>
      <x:c r="B13" s="1" t="str">
        <x:v>Rare</x:v>
      </x:c>
      <x:c r="C13" s="1" t="str">
        <x:v>Less than 5%</x:v>
      </x:c>
      <x:c r="D13" s="1"/>
      <x:c r="E13" s="1"/>
      <x:c r="F13" s="1"/>
    </x:row>
    <x:row r="14">
      <x:c r="A14" s="1" t="n">
        <x:v>2</x:v>
      </x:c>
      <x:c r="B14" s="1" t="str">
        <x:v>Unlikely</x:v>
      </x:c>
      <x:c r="C14" s="1" t="str">
        <x:v>5% to less than 20%</x:v>
      </x:c>
      <x:c r="D14" s="1"/>
      <x:c r="E14" s="1"/>
      <x:c r="F14" s="1"/>
    </x:row>
    <x:row r="15">
      <x:c r="A15" s="1" t="n">
        <x:v>3</x:v>
      </x:c>
      <x:c r="B15" s="1" t="str">
        <x:v>Possible</x:v>
      </x:c>
      <x:c r="C15" s="1" t="str">
        <x:v>20% to less than 50%</x:v>
      </x:c>
      <x:c r="D15" s="1"/>
      <x:c r="E15" s="1"/>
      <x:c r="F15" s="1"/>
    </x:row>
    <x:row r="16">
      <x:c r="A16" s="1" t="n">
        <x:v>4</x:v>
      </x:c>
      <x:c r="B16" s="1" t="str">
        <x:v>Likely</x:v>
      </x:c>
      <x:c r="C16" s="1" t="str">
        <x:v>50% to less than 80%</x:v>
      </x:c>
      <x:c r="D16" s="1"/>
      <x:c r="E16" s="1"/>
      <x:c r="F16" s="1"/>
    </x:row>
    <x:row r="17">
      <x:c r="A17" s="1" t="n">
        <x:v>5</x:v>
      </x:c>
      <x:c r="B17" s="1" t="str">
        <x:v>Almost certain</x:v>
      </x:c>
      <x:c r="C17" s="1" t="str">
        <x:v>80% or greater</x:v>
      </x:c>
      <x:c r="D17" s="1"/>
      <x:c r="E17" s="1"/>
      <x:c r="F17" s="1"/>
    </x:row>
    <x:row r="18">
      <x:c r="A18" s="1"/>
      <x:c r="B18" s="1"/>
      <x:c r="C18" s="1"/>
      <x:c r="D18" s="1"/>
      <x:c r="E18" s="1"/>
      <x:c r="F18" s="1"/>
    </x:row>
    <x:row r="19">
      <x:c r="A19" s="1"/>
      <x:c r="B19" s="1"/>
      <x:c r="C19" s="1"/>
      <x:c r="D19" s="1"/>
      <x:c r="E19" s="1"/>
      <x:c r="F19" s="1"/>
    </x:row>
    <x:row r="20" ht="62" customHeight="1">
      <x:c r="A20" s="26" t="str">
        <x:v>Score</x:v>
      </x:c>
      <x:c r="B20" s="26" t="str">
        <x:v>Magnitude</x:v>
      </x:c>
      <x:c r="C20" s="26" t="str">
        <x:v>Meaning</x:v>
      </x:c>
      <x:c r="D20" s="26"/>
      <x:c r="E20" s="26"/>
      <x:c r="F20" s="26"/>
    </x:row>
    <x:row r="21" ht="62" customHeight="1">
      <x:c r="A21" s="27" t="n">
        <x:v>1</x:v>
      </x:c>
      <x:c r="B21" s="27" t="str">
        <x:v>Insignificant</x:v>
      </x:c>
      <x:c r="C21" s="27" t="str">
        <x:v>Minor effects handled through routine work, with negligible financial loss or disruption and no meaningful customer harm.</x:v>
      </x:c>
      <x:c r="D21" s="27"/>
      <x:c r="E21" s="27"/>
      <x:c r="F21" s="27"/>
    </x:row>
    <x:row r="22" ht="62" customHeight="1">
      <x:c r="A22" s="27" t="n">
        <x:v>2</x:v>
      </x:c>
      <x:c r="B22" s="27" t="str">
        <x:v>Minor</x:v>
      </x:c>
      <x:c r="C22" s="27" t="str">
        <x:v>Limited loss, disruption or complaints managed by the affected team without materially affecting essential services or obligations.</x:v>
      </x:c>
      <x:c r="D22" s="27"/>
      <x:c r="E22" s="27"/>
      <x:c r="F22" s="27"/>
    </x:row>
    <x:row r="23" ht="62" customHeight="1">
      <x:c r="A23" s="27" t="n">
        <x:v>3</x:v>
      </x:c>
      <x:c r="B23" s="27" t="str">
        <x:v>Moderate</x:v>
      </x:c>
      <x:c r="C23" s="27" t="str">
        <x:v>Noticeable impacts require coordination and some resource reallocation. Essential obligations remain achievable.</x:v>
      </x:c>
      <x:c r="D23" s="27"/>
      <x:c r="E23" s="27"/>
      <x:c r="F23" s="27"/>
    </x:row>
    <x:row r="24" ht="62" customHeight="1">
      <x:c r="A24" s="27" t="n">
        <x:v>4</x:v>
      </x:c>
      <x:c r="B24" s="27" t="str">
        <x:v>Major</x:v>
      </x:c>
      <x:c r="C24" s="27" t="str">
        <x:v>Substantial losses, prolonged disruption, serious information exposure or damage to confidence threaten essential obligations and require significant management intervention.</x:v>
      </x:c>
      <x:c r="D24" s="27"/>
      <x:c r="E24" s="27"/>
      <x:c r="F24" s="27"/>
    </x:row>
    <x:row r="25" ht="62" customHeight="1">
      <x:c r="A25" s="27" t="n">
        <x:v>5</x:v>
      </x:c>
      <x:c r="B25" s="27" t="str">
        <x:v>Severe</x:v>
      </x:c>
      <x:c r="C25" s="27" t="str">
        <x:v>Consequences threaten organizational viability or sustained essential services, or cause widespread serious customer harm.</x:v>
      </x:c>
      <x:c r="D25" s="27"/>
      <x:c r="E25" s="27"/>
      <x:c r="F25" s="27"/>
    </x:row>
    <x:row r="26">
      <x:c r="A26" s="1"/>
      <x:c r="B26" s="1"/>
      <x:c r="C26" s="1"/>
      <x:c r="D26" s="1"/>
      <x:c r="E26" s="1"/>
      <x:c r="F26" s="1"/>
    </x:row>
    <x:row r="27">
      <x:c r="A27" s="1"/>
      <x:c r="B27" s="1"/>
      <x:c r="C27" s="1"/>
      <x:c r="D27" s="1"/>
      <x:c r="E27" s="1"/>
      <x:c r="F27" s="1"/>
    </x:row>
    <x:row r="28" ht="45" customHeight="1">
      <x:c r="A28" s="26" t="str">
        <x:v>Source</x:v>
      </x:c>
      <x:c r="B28" s="26" t="str">
        <x:v>Label</x:v>
      </x:c>
      <x:c r="C28" s="26" t="str">
        <x:v>Primary cause</x:v>
      </x:c>
      <x:c r="D28" s="26"/>
      <x:c r="E28" s="26"/>
      <x:c r="F28" s="26"/>
    </x:row>
    <x:row r="29" ht="45" customHeight="1">
      <x:c r="A29" s="27" t="str">
        <x:v>P</x:v>
      </x:c>
      <x:c r="B29" s="27" t="str">
        <x:v>People</x:v>
      </x:c>
      <x:c r="C29" s="27" t="str">
        <x:v>Staff capacity, skills, availability or unintentional human error.</x:v>
      </x:c>
      <x:c r="D29" s="27"/>
      <x:c r="E29" s="27"/>
      <x:c r="F29" s="27"/>
    </x:row>
    <x:row r="30" ht="45" customHeight="1">
      <x:c r="A30" s="27" t="str">
        <x:v>T</x:v>
      </x:c>
      <x:c r="B30" s="27" t="str">
        <x:v>Technology</x:v>
      </x:c>
      <x:c r="C30" s="27" t="str">
        <x:v>Technical capacity, reliability or security weakness.</x:v>
      </x:c>
      <x:c r="D30" s="27"/>
      <x:c r="E30" s="27"/>
      <x:c r="F30" s="27"/>
    </x:row>
    <x:row r="31" ht="45" customHeight="1">
      <x:c r="A31" s="27" t="str">
        <x:v>S</x:v>
      </x:c>
      <x:c r="B31" s="27" t="str">
        <x:v>Suppliers and third parties</x:v>
      </x:c>
      <x:c r="C31" s="27" t="str">
        <x:v>Failure or limitation of a separate provider or group support entity.</x:v>
      </x:c>
      <x:c r="D31" s="27"/>
      <x:c r="E31" s="27"/>
      <x:c r="F31" s="27"/>
    </x:row>
    <x:row r="32" ht="45" customHeight="1">
      <x:c r="A32" s="27" t="str">
        <x:v>E</x:v>
      </x:c>
      <x:c r="B32" s="27" t="str">
        <x:v>External Conditions</x:v>
      </x:c>
      <x:c r="C32" s="27" t="str">
        <x:v>Economic, public-health, weather or other external conditions.</x:v>
      </x:c>
      <x:c r="D32" s="27"/>
      <x:c r="E32" s="27"/>
      <x:c r="F32" s="27"/>
    </x:row>
    <x:row r="33" ht="45" customHeight="1">
      <x:c r="A33" s="27" t="str">
        <x:v>G</x:v>
      </x:c>
      <x:c r="B33" s="27" t="str">
        <x:v>Governance and Processes</x:v>
      </x:c>
      <x:c r="C33" s="27" t="str">
        <x:v>Weak accountability, procedure design, oversight or work organization.</x:v>
      </x:c>
      <x:c r="D33" s="27"/>
      <x:c r="E33" s="27"/>
      <x:c r="F33" s="27"/>
    </x:row>
    <x:row r="34" ht="45" customHeight="1">
      <x:c r="A34" s="27" t="str">
        <x:v>C</x:v>
      </x:c>
      <x:c r="B34" s="27" t="str">
        <x:v>Conduct</x:v>
      </x:c>
      <x:c r="C34" s="27" t="str">
        <x:v>Deliberate deception, inappropriate behaviour or failure to follow established procedures.</x:v>
      </x:c>
      <x:c r="D34" s="27"/>
      <x:c r="E34" s="27"/>
      <x:c r="F34" s="27"/>
    </x:row>
    <x:row r="35">
      <x:c r="A35" s="1"/>
      <x:c r="B35" s="1"/>
      <x:c r="C35" s="1"/>
      <x:c r="D35" s="1"/>
      <x:c r="E35" s="1"/>
      <x:c r="F35" s="1"/>
    </x:row>
    <x:row r="36">
      <x:c r="A36" s="1" t="str">
        <x:v>Use the highest credible consequence across FIRM, with a stated scenario. Appetite alone does not determine magnitude.</x:v>
      </x:c>
      <x:c r="B36" s="1"/>
      <x:c r="C36" s="1"/>
      <x:c r="D36" s="1"/>
      <x:c r="E36" s="1"/>
      <x:c r="F36" s="1"/>
    </x:row>
    <x:row r="37">
      <x:c r="A37" s="1" t="str">
        <x:v>Probability bands are judgment categories, not measured forecasts. Missing information does not by itself justify a likelihood score.</x:v>
      </x:c>
      <x:c r="B37" s="1"/>
      <x:c r="C37" s="1"/>
      <x:c r="D37" s="1"/>
      <x:c r="E37" s="1"/>
      <x:c r="F37" s="1"/>
    </x:row>
    <x:row r="38">
      <x:c r="A38" s="1" t="str">
        <x:v>Initial assessment: 2020-04-01. Likelihood horizon: 2020-04-01 through 2020-06-30. Later evidence is introduced only through dated reviews.</x:v>
      </x:c>
      <x:c r="B38" s="1"/>
      <x:c r="C38" s="1"/>
      <x:c r="D38" s="1"/>
      <x:c r="E38" s="1"/>
      <x:c r="F38" s="1"/>
    </x:row>
    <x:row r="39">
      <x:c r="A39" s="1" t="str">
        <x:v>Matrix bands are screening categories. Tolerability requires evidence about remaining exposure, appetite, controllability and business necessity.</x:v>
      </x:c>
      <x:c r="B39" s="1"/>
      <x:c r="C39" s="1"/>
      <x:c r="D39" s="1"/>
      <x:c r="E39" s="1"/>
      <x:c r="F39" s="1"/>
    </x:row>
    <x:row r="41">
      <x:c r="A41" t="str">
        <x:v>D12: case-confirmed controls, team assumptions, undocumented arrangements and proposed improvements must be distinguished.</x:v>
      </x:c>
    </x:row>
    <x:row r="42">
      <x:c r="A42" t="str">
        <x:v>D14: each active risk has one proposed accountable organizational role; the actual individual remains to be designated.</x:v>
      </x:c>
    </x:row>
    <x:row r="43">
      <x:c r="A43" t="str">
        <x:v>Consolidated records retain history and links but are excluded from active ratings and counts. Consolidation does not mean resolution.</x:v>
      </x:c>
    </x:row>
    <x:row r="44">
      <x:c r="A44" t="str">
        <x:v>Tolerability is separate from the categorical likelihood–magnitude matrix; scores are not multiplied. Not tolerable requires treatment and management attention, not automatic cessation. Temporary continuation requires appropriate authorization, interim safeguards and review.</x:v>
      </x:c>
    </x:row>
  </x:sheetData>
  <x:mergeCells>
    <x:mergeCell ref="C20:F20"/>
    <x:mergeCell ref="C21:F21"/>
    <x:mergeCell ref="C22:F22"/>
    <x:mergeCell ref="C23:F23"/>
    <x:mergeCell ref="C24:F24"/>
    <x:mergeCell ref="C25:F25"/>
    <x:mergeCell ref="C28:F28"/>
    <x:mergeCell ref="C29:F29"/>
    <x:mergeCell ref="C30:F30"/>
    <x:mergeCell ref="C31:F31"/>
    <x:mergeCell ref="C32:F32"/>
    <x:mergeCell ref="C33:F33"/>
    <x:mergeCell ref="C34:F34"/>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16" hidden="0" customWidth="1"/>
    <x:col min="3" max="3" width="16" hidden="0" customWidth="1"/>
    <x:col min="4" max="4" width="30" hidden="0" customWidth="1"/>
    <x:col min="5" max="5" width="12" hidden="0" customWidth="1"/>
    <x:col min="6" max="6" width="12" hidden="0" customWidth="1"/>
    <x:col min="7" max="7" width="12" hidden="0" customWidth="1"/>
    <x:col min="8" max="8" width="12" hidden="0" customWidth="1"/>
    <x:col min="9" max="9" width="95" hidden="0" customWidth="1"/>
    <x:col min="10" max="10" width="30" hidden="0" customWidth="1"/>
  </x:cols>
  <x:sheetData>
    <x:row r="1">
      <x:c r="A1" s="1"/>
      <x:c r="B1" s="1"/>
      <x:c r="C1" s="1"/>
      <x:c r="D1" s="1"/>
      <x:c r="E1" s="1"/>
      <x:c r="F1" s="1"/>
      <x:c r="G1" s="1"/>
      <x:c r="H1" s="1"/>
    </x:row>
    <x:row r="2">
      <x:c r="A2" s="2" t="str">
        <x:v>Edit History</x:v>
      </x:c>
      <x:c r="B2" s="1"/>
      <x:c r="C2" s="1"/>
      <x:c r="D2" s="1"/>
      <x:c r="E2" s="1"/>
      <x:c r="F2" s="1"/>
      <x:c r="G2" s="1"/>
      <x:c r="H2" s="1"/>
    </x:row>
    <x:row r="3" ht="24" customHeight="1">
      <x:c r="A3" s="1" t="str">
        <x:v>Initial consolidation history. Original ratings use Urman’s method; working ratings use the agreed matrix. No formal approval is implied.</x:v>
      </x:c>
      <x:c r="B3" s="1"/>
      <x:c r="C3" s="1"/>
      <x:c r="D3" s="1"/>
      <x:c r="E3" s="1"/>
      <x:c r="F3" s="1"/>
      <x:c r="G3" s="1"/>
      <x:c r="H3" s="1"/>
    </x:row>
    <x:row r="5" ht="42" customHeight="1">
      <x:c r="A5" s="7" t="str">
        <x:v>Record ID</x:v>
      </x:c>
      <x:c r="B5" s="7" t="str">
        <x:v>Original code</x:v>
      </x:c>
      <x:c r="C5" s="7" t="str">
        <x:v>Working code</x:v>
      </x:c>
      <x:c r="D5" s="7" t="str">
        <x:v>Code change status</x:v>
      </x:c>
      <x:c r="E5" s="7" t="str">
        <x:v>Original L</x:v>
      </x:c>
      <x:c r="F5" s="7" t="str">
        <x:v>Original M</x:v>
      </x:c>
      <x:c r="G5" s="7" t="str">
        <x:v>Working L</x:v>
      </x:c>
      <x:c r="H5" s="7" t="str">
        <x:v>Working M</x:v>
      </x:c>
      <x:c r="I5" s="7" t="str">
        <x:v>Reason and scope</x:v>
      </x:c>
      <x:c r="J5" s="7" t="str">
        <x:v>Review status</x:v>
      </x:c>
    </x:row>
    <x:row r="6" ht="42" customHeight="1">
      <x:c r="A6" s="8" t="str">
        <x:v>R-001</x:v>
      </x:c>
      <x:c r="B6" s="8" t="str">
        <x:v>F1-E-01</x:v>
      </x:c>
      <x:c r="C6" s="8" t="str">
        <x:v>F1-E-01</x:v>
      </x:c>
      <x:c r="D6" s="8" t="str">
        <x:v>Retained</x:v>
      </x:c>
      <x:c r="E6" s="8" t="n">
        <x:v>3</x:v>
      </x:c>
      <x:c r="F6" s="8" t="n">
        <x:v>4</x:v>
      </x:c>
      <x:c r="G6" s="8" t="n">
        <x:v>3</x:v>
      </x:c>
      <x:c r="H6" s="8" t="n">
        <x:v>4</x:v>
      </x:c>
      <x:c r="I6" s="8" t="str">
        <x:v>Cause, event and impact separated; wording aligned to pandemic onset. Source evidence and controls remain unverified.</x:v>
      </x:c>
      <x:c r="J6" s="8" t="str">
        <x:v>Chris agreed initial review</x:v>
      </x:c>
    </x:row>
    <x:row r="7" ht="42" customHeight="1">
      <x:c r="A7" s="5" t="str">
        <x:v>R-002</x:v>
      </x:c>
      <x:c r="B7" s="5" t="str">
        <x:v>F1-S-01</x:v>
      </x:c>
      <x:c r="C7" s="5" t="str">
        <x:v>F1-S-01</x:v>
      </x:c>
      <x:c r="D7" s="5" t="str">
        <x:v>Retained</x:v>
      </x:c>
      <x:c r="E7" s="5" t="n">
        <x:v>3</x:v>
      </x:c>
      <x:c r="F7" s="5" t="n">
        <x:v>4</x:v>
      </x:c>
      <x:c r="G7" s="5" t="n">
        <x:v>3</x:v>
      </x:c>
      <x:c r="H7" s="5" t="n">
        <x:v>4</x:v>
      </x:c>
      <x:c r="I7" s="5" t="str">
        <x:v>Cause, event and impact separated; wording aligned to pandemic onset. Source evidence and controls remain unverified.</x:v>
      </x:c>
      <x:c r="J7" s="5" t="str">
        <x:v>Chris agreed initial review</x:v>
      </x:c>
    </x:row>
    <x:row r="8" ht="120" customHeight="1">
      <x:c r="A8" s="8" t="str">
        <x:v>R-003</x:v>
      </x:c>
      <x:c r="B8" s="8" t="str">
        <x:v>F2-P-01</x:v>
      </x:c>
      <x:c r="C8" s="8" t="str">
        <x:v>F2-G-01</x:v>
      </x:c>
      <x:c r="D8" s="8" t="str">
        <x:v>Agreed under D01</x:v>
      </x:c>
      <x:c r="E8" s="8" t="n">
        <x:v>4</x:v>
      </x:c>
      <x:c r="F8" s="8" t="n">
        <x:v>3</x:v>
      </x:c>
      <x:c r="G8" s="8" t="n">
        <x:v>3</x:v>
      </x:c>
      <x:c r="H8" s="8" t="n">
        <x:v>4</x:v>
      </x:c>
      <x:c r="I8" s="8" t="str">
        <x:v>Cause, event and impact separated; wording aligned to pandemic onset. Source evidence and controls remain unverified. Proposed code F2-P-01 to F2-G-01 based on primary cause or index placement. Proposed scores 4/3 to 3/4; see assessment reasoning.</x:v>
      </x:c>
      <x:c r="J8" s="8" t="str">
        <x:v>Classification approved by Chris, 2026-10-18; assessment pending</x:v>
      </x:c>
    </x:row>
    <x:row r="9" ht="42" customHeight="1">
      <x:c r="A9" s="5" t="str">
        <x:v>R-004</x:v>
      </x:c>
      <x:c r="B9" s="5" t="str">
        <x:v>F2-E-01</x:v>
      </x:c>
      <x:c r="C9" s="5" t="str">
        <x:v>F2-E-01</x:v>
      </x:c>
      <x:c r="D9" s="5" t="str">
        <x:v>Retained</x:v>
      </x:c>
      <x:c r="E9" s="5" t="n">
        <x:v>3</x:v>
      </x:c>
      <x:c r="F9" s="5" t="n">
        <x:v>4</x:v>
      </x:c>
      <x:c r="G9" s="5" t="n">
        <x:v>3</x:v>
      </x:c>
      <x:c r="H9" s="5" t="n">
        <x:v>4</x:v>
      </x:c>
      <x:c r="I9" s="5" t="str">
        <x:v>Cause, event and impact separated; wording aligned to pandemic onset. Source evidence and controls remain unverified.</x:v>
      </x:c>
      <x:c r="J9" s="5" t="str">
        <x:v>Pending review</x:v>
      </x:c>
    </x:row>
    <x:row r="10" ht="57" customHeight="1">
      <x:c r="A10" s="8" t="str">
        <x:v>R-005</x:v>
      </x:c>
      <x:c r="B10" s="8" t="str">
        <x:v>F3-T-01</x:v>
      </x:c>
      <x:c r="C10" s="8" t="str">
        <x:v>F3-C-01</x:v>
      </x:c>
      <x:c r="D10" s="8" t="str">
        <x:v>Proposed</x:v>
      </x:c>
      <x:c r="E10" s="8" t="n">
        <x:v>3</x:v>
      </x:c>
      <x:c r="F10" s="8" t="n">
        <x:v>4</x:v>
      </x:c>
      <x:c r="G10" s="8" t="n">
        <x:v>3</x:v>
      </x:c>
      <x:c r="H10" s="8" t="n">
        <x:v>4</x:v>
      </x:c>
      <x:c r="I10" s="8" t="str">
        <x:v>Cause, event and impact separated; wording aligned to pandemic onset. Source evidence and controls remain unverified. Proposed code F3-T-01 to F3-C-01 based on primary cause or index placement.</x:v>
      </x:c>
      <x:c r="J10" s="8" t="str">
        <x:v>Pending review</x:v>
      </x:c>
    </x:row>
    <x:row r="11" ht="42" customHeight="1">
      <x:c r="A11" s="5" t="str">
        <x:v>R-006</x:v>
      </x:c>
      <x:c r="B11" s="5" t="str">
        <x:v>F3-S-01</x:v>
      </x:c>
      <x:c r="C11" s="5" t="str">
        <x:v>F3-S-01</x:v>
      </x:c>
      <x:c r="D11" s="5" t="str">
        <x:v>Retained</x:v>
      </x:c>
      <x:c r="E11" s="5" t="n">
        <x:v>4</x:v>
      </x:c>
      <x:c r="F11" s="5" t="n">
        <x:v>3</x:v>
      </x:c>
      <x:c r="G11" s="5" t="n">
        <x:v>3</x:v>
      </x:c>
      <x:c r="H11" s="5" t="n">
        <x:v>4</x:v>
      </x:c>
      <x:c r="I11" s="5" t="str">
        <x:v>Cause, event and impact separated; wording aligned to pandemic onset. Source evidence and controls remain unverified. Proposed scores 4/3 to 3/4; see assessment reasoning.</x:v>
      </x:c>
      <x:c r="J11" s="5" t="str">
        <x:v>Pending review</x:v>
      </x:c>
    </x:row>
    <x:row r="12" ht="42" customHeight="1">
      <x:c r="A12" s="8" t="str">
        <x:v>R-007</x:v>
      </x:c>
      <x:c r="B12" s="8" t="str">
        <x:v>F3-S-02</x:v>
      </x:c>
      <x:c r="C12" s="8" t="str">
        <x:v>F3-S-02</x:v>
      </x:c>
      <x:c r="D12" s="8" t="str">
        <x:v>Retained</x:v>
      </x:c>
      <x:c r="E12" s="8" t="n">
        <x:v>2</x:v>
      </x:c>
      <x:c r="F12" s="8" t="n">
        <x:v>4</x:v>
      </x:c>
      <x:c r="G12" s="8" t="n">
        <x:v>2</x:v>
      </x:c>
      <x:c r="H12" s="8" t="n">
        <x:v>4</x:v>
      </x:c>
      <x:c r="I12" s="8" t="str">
        <x:v>Cause, event and impact separated; wording aligned to pandemic onset. Source evidence and controls remain unverified.</x:v>
      </x:c>
      <x:c r="J12" s="8" t="str">
        <x:v>Pending review</x:v>
      </x:c>
    </x:row>
    <x:row r="13" ht="42" customHeight="1">
      <x:c r="A13" s="5" t="str">
        <x:v>R-008</x:v>
      </x:c>
      <x:c r="B13" s="5" t="str">
        <x:v>F3-S-03</x:v>
      </x:c>
      <x:c r="C13" s="5" t="str">
        <x:v>F3-S-03</x:v>
      </x:c>
      <x:c r="D13" s="5" t="str">
        <x:v>Retained</x:v>
      </x:c>
      <x:c r="E13" s="5" t="n">
        <x:v>2</x:v>
      </x:c>
      <x:c r="F13" s="5" t="n">
        <x:v>5</x:v>
      </x:c>
      <x:c r="G13" s="5" t="n">
        <x:v>2</x:v>
      </x:c>
      <x:c r="H13" s="5" t="n">
        <x:v>5</x:v>
      </x:c>
      <x:c r="I13" s="5" t="str">
        <x:v>Cause, event and impact separated; wording aligned to pandemic onset. Source evidence and controls remain unverified.</x:v>
      </x:c>
      <x:c r="J13" s="5" t="str">
        <x:v>Pending review</x:v>
      </x:c>
    </x:row>
    <x:row r="14" ht="42" customHeight="1">
      <x:c r="A14" s="8" t="str">
        <x:v>R-009</x:v>
      </x:c>
      <x:c r="B14" s="8" t="str">
        <x:v>F3-E-01</x:v>
      </x:c>
      <x:c r="C14" s="8" t="str">
        <x:v>F3-E-01</x:v>
      </x:c>
      <x:c r="D14" s="8" t="str">
        <x:v>Retained</x:v>
      </x:c>
      <x:c r="E14" s="8" t="n">
        <x:v>2</x:v>
      </x:c>
      <x:c r="F14" s="8" t="n">
        <x:v>4</x:v>
      </x:c>
      <x:c r="G14" s="8" t="n">
        <x:v>2</x:v>
      </x:c>
      <x:c r="H14" s="8" t="n">
        <x:v>4</x:v>
      </x:c>
      <x:c r="I14" s="8" t="str">
        <x:v>Cause, event and impact separated; wording aligned to pandemic onset. Source evidence and controls remain unverified.</x:v>
      </x:c>
      <x:c r="J14" s="8" t="str">
        <x:v>Pending review</x:v>
      </x:c>
    </x:row>
    <x:row r="15" ht="42" customHeight="1">
      <x:c r="A15" s="5" t="str">
        <x:v>R-010</x:v>
      </x:c>
      <x:c r="B15" s="5" t="str">
        <x:v>F4-E-01</x:v>
      </x:c>
      <x:c r="C15" s="5" t="str">
        <x:v>F4-E-01</x:v>
      </x:c>
      <x:c r="D15" s="5" t="str">
        <x:v>Retained</x:v>
      </x:c>
      <x:c r="E15" s="5" t="n">
        <x:v>2</x:v>
      </x:c>
      <x:c r="F15" s="5" t="n">
        <x:v>5</x:v>
      </x:c>
      <x:c r="G15" s="5" t="n">
        <x:v>2</x:v>
      </x:c>
      <x:c r="H15" s="5" t="n">
        <x:v>5</x:v>
      </x:c>
      <x:c r="I15" s="5" t="str">
        <x:v>Cause, event and impact separated; wording aligned to pandemic onset. Source evidence and controls remain unverified.</x:v>
      </x:c>
      <x:c r="J15" s="5" t="str">
        <x:v>Pending review</x:v>
      </x:c>
    </x:row>
    <x:row r="16" ht="42" customHeight="1">
      <x:c r="A16" s="8" t="str">
        <x:v>R-011</x:v>
      </x:c>
      <x:c r="B16" s="8" t="str">
        <x:v>F4-E-02</x:v>
      </x:c>
      <x:c r="C16" s="8" t="str">
        <x:v>F4-E-02</x:v>
      </x:c>
      <x:c r="D16" s="8" t="str">
        <x:v>Retained</x:v>
      </x:c>
      <x:c r="E16" s="8" t="n">
        <x:v>4</x:v>
      </x:c>
      <x:c r="F16" s="8" t="n">
        <x:v>4</x:v>
      </x:c>
      <x:c r="G16" s="8" t="n">
        <x:v>4</x:v>
      </x:c>
      <x:c r="H16" s="8" t="n">
        <x:v>4</x:v>
      </x:c>
      <x:c r="I16" s="8" t="str">
        <x:v>Cause, event and impact separated; wording aligned to pandemic onset. Source evidence and controls remain unverified.</x:v>
      </x:c>
      <x:c r="J16" s="8" t="str">
        <x:v>Pending review</x:v>
      </x:c>
    </x:row>
    <x:row r="17" ht="42" customHeight="1">
      <x:c r="A17" s="5" t="str">
        <x:v>R-012</x:v>
      </x:c>
      <x:c r="B17" s="5" t="str">
        <x:v>F4-E-03</x:v>
      </x:c>
      <x:c r="C17" s="5" t="str">
        <x:v>F4-E-03</x:v>
      </x:c>
      <x:c r="D17" s="5" t="str">
        <x:v>Retained</x:v>
      </x:c>
      <x:c r="E17" s="5" t="n">
        <x:v>5</x:v>
      </x:c>
      <x:c r="F17" s="5" t="n">
        <x:v>3</x:v>
      </x:c>
      <x:c r="G17" s="5" t="n">
        <x:v>4</x:v>
      </x:c>
      <x:c r="H17" s="5" t="n">
        <x:v>4</x:v>
      </x:c>
      <x:c r="I17" s="5" t="str">
        <x:v>Cause, event and impact separated; wording aligned to pandemic onset. Source evidence and controls remain unverified. Proposed scores 5/3 to 4/4; see assessment reasoning.</x:v>
      </x:c>
      <x:c r="J17" s="5" t="str">
        <x:v>Pending review</x:v>
      </x:c>
    </x:row>
    <x:row r="18" ht="120" customHeight="1">
      <x:c r="A18" s="8" t="str">
        <x:v>R-014</x:v>
      </x:c>
      <x:c r="B18" s="8" t="str">
        <x:v>I1-P-01</x:v>
      </x:c>
      <x:c r="C18" s="8" t="str">
        <x:v>I1-G-01</x:v>
      </x:c>
      <x:c r="D18" s="8" t="str">
        <x:v>Agreed under D01</x:v>
      </x:c>
      <x:c r="E18" s="8" t="n">
        <x:v>5</x:v>
      </x:c>
      <x:c r="F18" s="8" t="n">
        <x:v>4</x:v>
      </x:c>
      <x:c r="G18" s="8" t="n">
        <x:v>4</x:v>
      </x:c>
      <x:c r="H18" s="8" t="n">
        <x:v>4</x:v>
      </x:c>
      <x:c r="I18" s="8" t="str">
        <x:v>Cause, event and impact separated; wording aligned to pandemic onset. Source evidence and controls remain unverified. Proposed code I1-P-01 to I1-G-01 based on primary cause or index placement. Proposed scores 5/4 to 4/4; see assessment reasoning.</x:v>
      </x:c>
      <x:c r="J18" s="8" t="str">
        <x:v>Classification approved by Chris, 2026-10-18; assessment pending</x:v>
      </x:c>
    </x:row>
    <x:row r="19" ht="42" customHeight="1">
      <x:c r="A19" s="5" t="str">
        <x:v>R-015</x:v>
      </x:c>
      <x:c r="B19" s="5" t="str">
        <x:v>I1-P-02</x:v>
      </x:c>
      <x:c r="C19" s="5" t="str">
        <x:v>I1-P-02</x:v>
      </x:c>
      <x:c r="D19" s="5" t="str">
        <x:v>Retained</x:v>
      </x:c>
      <x:c r="E19" s="5" t="n">
        <x:v>4</x:v>
      </x:c>
      <x:c r="F19" s="5" t="n">
        <x:v>3</x:v>
      </x:c>
      <x:c r="G19" s="5" t="n">
        <x:v>4</x:v>
      </x:c>
      <x:c r="H19" s="5" t="n">
        <x:v>3</x:v>
      </x:c>
      <x:c r="I19" s="5" t="str">
        <x:v>Cause, event and impact separated; wording aligned to pandemic onset. Source evidence and controls remain unverified.</x:v>
      </x:c>
      <x:c r="J19" s="5" t="str">
        <x:v>Pending review</x:v>
      </x:c>
    </x:row>
    <x:row r="20" ht="42" customHeight="1">
      <x:c r="A20" s="8" t="str">
        <x:v>R-016</x:v>
      </x:c>
      <x:c r="B20" s="8" t="str">
        <x:v>I1-P-03</x:v>
      </x:c>
      <x:c r="C20" s="8" t="str">
        <x:v>I1-P-03</x:v>
      </x:c>
      <x:c r="D20" s="8" t="str">
        <x:v>Retained</x:v>
      </x:c>
      <x:c r="E20" s="8" t="n">
        <x:v>2</x:v>
      </x:c>
      <x:c r="F20" s="8" t="n">
        <x:v>4</x:v>
      </x:c>
      <x:c r="G20" s="8" t="n">
        <x:v>2</x:v>
      </x:c>
      <x:c r="H20" s="8" t="n">
        <x:v>4</x:v>
      </x:c>
      <x:c r="I20" s="8" t="str">
        <x:v>Cause, event and impact separated; wording aligned to pandemic onset. Source evidence and controls remain unverified.</x:v>
      </x:c>
      <x:c r="J20" s="8" t="str">
        <x:v>Pending review</x:v>
      </x:c>
    </x:row>
    <x:row r="21" ht="120" customHeight="1">
      <x:c r="A21" s="5" t="str">
        <x:v>R-017</x:v>
      </x:c>
      <x:c r="B21" s="5" t="str">
        <x:v>I1-P-04</x:v>
      </x:c>
      <x:c r="C21" s="5" t="str">
        <x:v>I1-G-02</x:v>
      </x:c>
      <x:c r="D21" s="5" t="str">
        <x:v>Agreed under D01</x:v>
      </x:c>
      <x:c r="E21" s="5" t="n">
        <x:v>5</x:v>
      </x:c>
      <x:c r="F21" s="5" t="n">
        <x:v>3</x:v>
      </x:c>
      <x:c r="G21" s="5" t="n">
        <x:v>3</x:v>
      </x:c>
      <x:c r="H21" s="5" t="n">
        <x:v>4</x:v>
      </x:c>
      <x:c r="I21" s="5" t="str">
        <x:v>Cause, event and impact separated; wording aligned to pandemic onset. Source evidence and controls remain unverified. Proposed code I1-P-04 to I1-G-02 based on primary cause or index placement. Proposed scores 5/3 to 3/4; see assessment reasoning.</x:v>
      </x:c>
      <x:c r="J21" s="5" t="str">
        <x:v>Classification approved by Chris, 2026-10-18; assessment pending</x:v>
      </x:c>
    </x:row>
    <x:row r="22" ht="42" customHeight="1">
      <x:c r="A22" s="8" t="str">
        <x:v>R-018</x:v>
      </x:c>
      <x:c r="B22" s="8" t="str">
        <x:v>I2-T-01</x:v>
      </x:c>
      <x:c r="C22" s="8" t="str">
        <x:v>I2-T-01</x:v>
      </x:c>
      <x:c r="D22" s="8" t="str">
        <x:v>Retained</x:v>
      </x:c>
      <x:c r="E22" s="8" t="n">
        <x:v>5</x:v>
      </x:c>
      <x:c r="F22" s="8" t="n">
        <x:v>4</x:v>
      </x:c>
      <x:c r="G22" s="8" t="n">
        <x:v>4</x:v>
      </x:c>
      <x:c r="H22" s="8" t="n">
        <x:v>4</x:v>
      </x:c>
      <x:c r="I22" s="8" t="str">
        <x:v>Cause, event and impact separated; wording aligned to pandemic onset. Source evidence and controls remain unverified. Proposed scores 5/4 to 4/4; see assessment reasoning.</x:v>
      </x:c>
      <x:c r="J22" s="8" t="str">
        <x:v>Pending review</x:v>
      </x:c>
    </x:row>
    <x:row r="23" ht="42" customHeight="1">
      <x:c r="A23" s="5" t="str">
        <x:v>R-019</x:v>
      </x:c>
      <x:c r="B23" s="5" t="str">
        <x:v>I2-E-01</x:v>
      </x:c>
      <x:c r="C23" s="5" t="str">
        <x:v>I2-E-01</x:v>
      </x:c>
      <x:c r="D23" s="5" t="str">
        <x:v>Retained</x:v>
      </x:c>
      <x:c r="E23" s="5" t="n">
        <x:v>4</x:v>
      </x:c>
      <x:c r="F23" s="5" t="n">
        <x:v>3</x:v>
      </x:c>
      <x:c r="G23" s="5" t="n">
        <x:v>4</x:v>
      </x:c>
      <x:c r="H23" s="5" t="n">
        <x:v>3</x:v>
      </x:c>
      <x:c r="I23" s="5" t="str">
        <x:v>Cause, event and impact separated; wording aligned to pandemic onset. Source evidence and controls remain unverified.</x:v>
      </x:c>
      <x:c r="J23" s="5" t="str">
        <x:v>Pending review</x:v>
      </x:c>
    </x:row>
    <x:row r="24" ht="42" customHeight="1">
      <x:c r="A24" s="8" t="str">
        <x:v>R-020</x:v>
      </x:c>
      <x:c r="B24" s="8" t="str">
        <x:v>I3-T-01</x:v>
      </x:c>
      <x:c r="C24" s="8" t="str">
        <x:v>I3-T-01</x:v>
      </x:c>
      <x:c r="D24" s="8" t="str">
        <x:v>Retained</x:v>
      </x:c>
      <x:c r="E24" s="8" t="n">
        <x:v>4</x:v>
      </x:c>
      <x:c r="F24" s="8" t="n">
        <x:v>5</x:v>
      </x:c>
      <x:c r="G24" s="8" t="n">
        <x:v>4</x:v>
      </x:c>
      <x:c r="H24" s="8" t="n">
        <x:v>5</x:v>
      </x:c>
      <x:c r="I24" s="8" t="str">
        <x:v>Cause, event and impact separated; wording aligned to pandemic onset. Source evidence and controls remain unverified.</x:v>
      </x:c>
      <x:c r="J24" s="8" t="str">
        <x:v>Pending review</x:v>
      </x:c>
    </x:row>
    <x:row r="25" ht="42" customHeight="1">
      <x:c r="A25" s="5" t="str">
        <x:v>R-021</x:v>
      </x:c>
      <x:c r="B25" s="5" t="str">
        <x:v>I3-T-02</x:v>
      </x:c>
      <x:c r="C25" s="5" t="str">
        <x:v>I3-T-02</x:v>
      </x:c>
      <x:c r="D25" s="5" t="str">
        <x:v>Retained</x:v>
      </x:c>
      <x:c r="E25" s="5" t="n">
        <x:v>4</x:v>
      </x:c>
      <x:c r="F25" s="5" t="n">
        <x:v>3</x:v>
      </x:c>
      <x:c r="G25" s="5" t="n">
        <x:v>4</x:v>
      </x:c>
      <x:c r="H25" s="5" t="n">
        <x:v>3</x:v>
      </x:c>
      <x:c r="I25" s="5" t="str">
        <x:v>Cause, event and impact separated; wording aligned to pandemic onset. Source evidence and controls remain unverified.</x:v>
      </x:c>
      <x:c r="J25" s="5" t="str">
        <x:v>Pending review</x:v>
      </x:c>
    </x:row>
    <x:row r="26" ht="42" customHeight="1">
      <x:c r="A26" s="8" t="str">
        <x:v>R-022</x:v>
      </x:c>
      <x:c r="B26" s="8" t="str">
        <x:v>I3-T-03</x:v>
      </x:c>
      <x:c r="C26" s="8" t="str">
        <x:v>I3-T-03</x:v>
      </x:c>
      <x:c r="D26" s="8" t="str">
        <x:v>Retained</x:v>
      </x:c>
      <x:c r="E26" s="8" t="n">
        <x:v>3</x:v>
      </x:c>
      <x:c r="F26" s="8" t="n">
        <x:v>5</x:v>
      </x:c>
      <x:c r="G26" s="8" t="n">
        <x:v>3</x:v>
      </x:c>
      <x:c r="H26" s="8" t="n">
        <x:v>5</x:v>
      </x:c>
      <x:c r="I26" s="8" t="str">
        <x:v>Cause, event and impact separated; wording aligned to pandemic onset. Source evidence and controls remain unverified.</x:v>
      </x:c>
      <x:c r="J26" s="8" t="str">
        <x:v>Pending review</x:v>
      </x:c>
    </x:row>
    <x:row r="27" ht="42" customHeight="1">
      <x:c r="A27" s="5" t="str">
        <x:v>R-023</x:v>
      </x:c>
      <x:c r="B27" s="5" t="str">
        <x:v>I3-P-01</x:v>
      </x:c>
      <x:c r="C27" s="5" t="str">
        <x:v>I3-P-01</x:v>
      </x:c>
      <x:c r="D27" s="5" t="str">
        <x:v>Retained</x:v>
      </x:c>
      <x:c r="E27" s="5" t="n">
        <x:v>4</x:v>
      </x:c>
      <x:c r="F27" s="5" t="n">
        <x:v>3</x:v>
      </x:c>
      <x:c r="G27" s="5" t="n">
        <x:v>3</x:v>
      </x:c>
      <x:c r="H27" s="5" t="n">
        <x:v>4</x:v>
      </x:c>
      <x:c r="I27" s="5" t="str">
        <x:v>Cause, event and impact separated; wording aligned to pandemic onset. Source evidence and controls remain unverified. Proposed scores 4/3 to 3/4; see assessment reasoning.</x:v>
      </x:c>
      <x:c r="J27" s="5" t="str">
        <x:v>Pending review</x:v>
      </x:c>
    </x:row>
    <x:row r="28" ht="120" customHeight="1">
      <x:c r="A28" s="8" t="str">
        <x:v>R-024</x:v>
      </x:c>
      <x:c r="B28" s="8" t="str">
        <x:v>I3-T-04</x:v>
      </x:c>
      <x:c r="C28" s="8" t="str">
        <x:v>I3-G-01</x:v>
      </x:c>
      <x:c r="D28" s="8" t="str">
        <x:v>Agreed under D01</x:v>
      </x:c>
      <x:c r="E28" s="8" t="n">
        <x:v>5</x:v>
      </x:c>
      <x:c r="F28" s="8" t="n">
        <x:v>2</x:v>
      </x:c>
      <x:c r="G28" s="8" t="n">
        <x:v>3</x:v>
      </x:c>
      <x:c r="H28" s="8" t="n">
        <x:v>4</x:v>
      </x:c>
      <x:c r="I28" s="8" t="str">
        <x:v>Cause, event and impact separated; wording aligned to pandemic onset. Source evidence and controls remain unverified. Proposed code I3-T-04 to I3-G-01 based on primary cause or index placement. Proposed scores 5/2 to 3/4; see assessment reasoning.</x:v>
      </x:c>
      <x:c r="J28" s="8" t="str">
        <x:v>Classification approved by Chris, 2026-10-18; assessment pending</x:v>
      </x:c>
    </x:row>
    <x:row r="29" ht="42" customHeight="1">
      <x:c r="A29" s="5" t="str">
        <x:v>R-025</x:v>
      </x:c>
      <x:c r="B29" s="5" t="str">
        <x:v>I4-P-01</x:v>
      </x:c>
      <x:c r="C29" s="5" t="str">
        <x:v>I4-P-01</x:v>
      </x:c>
      <x:c r="D29" s="5" t="str">
        <x:v>Retained</x:v>
      </x:c>
      <x:c r="E29" s="5" t="n">
        <x:v>4</x:v>
      </x:c>
      <x:c r="F29" s="5" t="n">
        <x:v>3</x:v>
      </x:c>
      <x:c r="G29" s="5" t="n">
        <x:v>3</x:v>
      </x:c>
      <x:c r="H29" s="5" t="n">
        <x:v>3</x:v>
      </x:c>
      <x:c r="I29" s="5" t="str">
        <x:v>Cause, event and impact separated; wording aligned to pandemic onset. Source evidence and controls remain unverified. Proposed scores 4/3 to 3/3; see assessment reasoning.</x:v>
      </x:c>
      <x:c r="J29" s="5" t="str">
        <x:v>Pending review</x:v>
      </x:c>
    </x:row>
    <x:row r="30" ht="42" customHeight="1">
      <x:c r="A30" s="8" t="str">
        <x:v>R-026</x:v>
      </x:c>
      <x:c r="B30" s="8" t="str">
        <x:v>I4-S-01</x:v>
      </x:c>
      <x:c r="C30" s="8" t="str">
        <x:v>I4-S-01</x:v>
      </x:c>
      <x:c r="D30" s="8" t="str">
        <x:v>Retained</x:v>
      </x:c>
      <x:c r="E30" s="8" t="n">
        <x:v>3</x:v>
      </x:c>
      <x:c r="F30" s="8" t="n">
        <x:v>4</x:v>
      </x:c>
      <x:c r="G30" s="8" t="n">
        <x:v>3</x:v>
      </x:c>
      <x:c r="H30" s="8" t="n">
        <x:v>4</x:v>
      </x:c>
      <x:c r="I30" s="8" t="str">
        <x:v>Cause, event and impact separated; wording aligned to pandemic onset. Source evidence and controls remain unverified.</x:v>
      </x:c>
      <x:c r="J30" s="8" t="str">
        <x:v>Pending review</x:v>
      </x:c>
    </x:row>
    <x:row r="31" ht="120" customHeight="1">
      <x:c r="A31" s="5" t="str">
        <x:v>R-027</x:v>
      </x:c>
      <x:c r="B31" s="5" t="str">
        <x:v>I4-T-01</x:v>
      </x:c>
      <x:c r="C31" s="5" t="str">
        <x:v>I4-G-01</x:v>
      </x:c>
      <x:c r="D31" s="5" t="str">
        <x:v>Agreed under D01</x:v>
      </x:c>
      <x:c r="E31" s="5" t="n">
        <x:v>4</x:v>
      </x:c>
      <x:c r="F31" s="5" t="n">
        <x:v>4</x:v>
      </x:c>
      <x:c r="G31" s="5" t="n">
        <x:v>3</x:v>
      </x:c>
      <x:c r="H31" s="5" t="n">
        <x:v>4</x:v>
      </x:c>
      <x:c r="I31" s="5" t="str">
        <x:v>Cause, event and impact separated; wording aligned to pandemic onset. Source evidence and controls remain unverified. Proposed code I4-T-01 to I4-G-01 based on primary cause or index placement. Proposed scores 4/4 to 3/4; see assessment reasoning.</x:v>
      </x:c>
      <x:c r="J31" s="5" t="str">
        <x:v>Classification approved by Chris, 2026-10-18; assessment pending</x:v>
      </x:c>
    </x:row>
    <x:row r="32" ht="42" customHeight="1">
      <x:c r="A32" s="8" t="str">
        <x:v>R-028</x:v>
      </x:c>
      <x:c r="B32" s="8" t="str">
        <x:v>R1-P-01</x:v>
      </x:c>
      <x:c r="C32" s="8" t="str">
        <x:v>R1-P-01</x:v>
      </x:c>
      <x:c r="D32" s="8" t="str">
        <x:v>Retained</x:v>
      </x:c>
      <x:c r="E32" s="8" t="n">
        <x:v>4</x:v>
      </x:c>
      <x:c r="F32" s="8" t="n">
        <x:v>3</x:v>
      </x:c>
      <x:c r="G32" s="8" t="n">
        <x:v>4</x:v>
      </x:c>
      <x:c r="H32" s="8" t="n">
        <x:v>3</x:v>
      </x:c>
      <x:c r="I32" s="8" t="str">
        <x:v>Cause, event and impact separated; wording aligned to pandemic onset. Source evidence and controls remain unverified.</x:v>
      </x:c>
      <x:c r="J32" s="8" t="str">
        <x:v>Pending review</x:v>
      </x:c>
    </x:row>
    <x:row r="33" ht="42" customHeight="1">
      <x:c r="A33" s="5" t="str">
        <x:v>R-029</x:v>
      </x:c>
      <x:c r="B33" s="5" t="str">
        <x:v>R1-C-01</x:v>
      </x:c>
      <x:c r="C33" s="5" t="str">
        <x:v>R1-C-01</x:v>
      </x:c>
      <x:c r="D33" s="5" t="str">
        <x:v>Retained</x:v>
      </x:c>
      <x:c r="E33" s="5" t="n">
        <x:v>3</x:v>
      </x:c>
      <x:c r="F33" s="5" t="n">
        <x:v>3</x:v>
      </x:c>
      <x:c r="G33" s="5" t="n">
        <x:v>3</x:v>
      </x:c>
      <x:c r="H33" s="5" t="n">
        <x:v>3</x:v>
      </x:c>
      <x:c r="I33" s="5" t="str">
        <x:v>Cause, event and impact separated; wording aligned to pandemic onset. Source evidence and controls remain unverified.</x:v>
      </x:c>
      <x:c r="J33" s="5" t="str">
        <x:v>Pending review</x:v>
      </x:c>
    </x:row>
    <x:row r="34" ht="120" customHeight="1">
      <x:c r="A34" s="8" t="str">
        <x:v>R-030</x:v>
      </x:c>
      <x:c r="B34" s="8" t="str">
        <x:v>R2-C-01</x:v>
      </x:c>
      <x:c r="C34" s="8" t="str">
        <x:v>R2-G-01</x:v>
      </x:c>
      <x:c r="D34" s="8" t="str">
        <x:v>Agreed under D01</x:v>
      </x:c>
      <x:c r="E34" s="8" t="n">
        <x:v>3</x:v>
      </x:c>
      <x:c r="F34" s="8" t="n">
        <x:v>4</x:v>
      </x:c>
      <x:c r="G34" s="8" t="n">
        <x:v>3</x:v>
      </x:c>
      <x:c r="H34" s="8" t="n">
        <x:v>4</x:v>
      </x:c>
      <x:c r="I34" s="8" t="str">
        <x:v>Cause, event and impact separated; wording aligned to pandemic onset. Source evidence and controls remain unverified. Proposed code R2-C-01 to R2-G-01 based on primary cause or index placement.</x:v>
      </x:c>
      <x:c r="J34" s="8" t="str">
        <x:v>Classification approved by Chris, 2026-10-18; assessment pending</x:v>
      </x:c>
    </x:row>
    <x:row r="35" ht="42" customHeight="1">
      <x:c r="A35" s="5" t="str">
        <x:v>R-031</x:v>
      </x:c>
      <x:c r="B35" s="5" t="str">
        <x:v>R2-P-01</x:v>
      </x:c>
      <x:c r="C35" s="5" t="str">
        <x:v>R2-P-01</x:v>
      </x:c>
      <x:c r="D35" s="5" t="str">
        <x:v>Retained</x:v>
      </x:c>
      <x:c r="E35" s="5" t="n">
        <x:v>4</x:v>
      </x:c>
      <x:c r="F35" s="5" t="n">
        <x:v>3</x:v>
      </x:c>
      <x:c r="G35" s="5" t="n">
        <x:v>4</x:v>
      </x:c>
      <x:c r="H35" s="5" t="n">
        <x:v>3</x:v>
      </x:c>
      <x:c r="I35" s="5" t="str">
        <x:v>Cause, event and impact separated; wording aligned to pandemic onset. Source evidence and controls remain unverified.</x:v>
      </x:c>
      <x:c r="J35" s="5" t="str">
        <x:v>Pending review</x:v>
      </x:c>
    </x:row>
    <x:row r="36" ht="42" customHeight="1">
      <x:c r="A36" s="8" t="str">
        <x:v>R-032</x:v>
      </x:c>
      <x:c r="B36" s="8" t="str">
        <x:v>R3-P-01</x:v>
      </x:c>
      <x:c r="C36" s="8" t="str">
        <x:v>R3-P-01</x:v>
      </x:c>
      <x:c r="D36" s="8" t="str">
        <x:v>Retained</x:v>
      </x:c>
      <x:c r="E36" s="8" t="n">
        <x:v>4</x:v>
      </x:c>
      <x:c r="F36" s="8" t="n">
        <x:v>3</x:v>
      </x:c>
      <x:c r="G36" s="8" t="n">
        <x:v>4</x:v>
      </x:c>
      <x:c r="H36" s="8" t="n">
        <x:v>3</x:v>
      </x:c>
      <x:c r="I36" s="8" t="str">
        <x:v>Cause, event and impact separated; wording aligned to pandemic onset. Source evidence and controls remain unverified.</x:v>
      </x:c>
      <x:c r="J36" s="8" t="str">
        <x:v>Pending review</x:v>
      </x:c>
    </x:row>
    <x:row r="37" ht="42" customHeight="1">
      <x:c r="A37" s="5" t="str">
        <x:v>R-033</x:v>
      </x:c>
      <x:c r="B37" s="5" t="str">
        <x:v>R3-T-01</x:v>
      </x:c>
      <x:c r="C37" s="5" t="str">
        <x:v>R3-T-01</x:v>
      </x:c>
      <x:c r="D37" s="5" t="str">
        <x:v>Retained</x:v>
      </x:c>
      <x:c r="E37" s="5" t="n">
        <x:v>3</x:v>
      </x:c>
      <x:c r="F37" s="5" t="n">
        <x:v>5</x:v>
      </x:c>
      <x:c r="G37" s="5" t="n">
        <x:v>3</x:v>
      </x:c>
      <x:c r="H37" s="5" t="n">
        <x:v>5</x:v>
      </x:c>
      <x:c r="I37" s="5" t="str">
        <x:v>Cause, event and impact separated; wording aligned to pandemic onset. Source evidence and controls remain unverified.</x:v>
      </x:c>
      <x:c r="J37" s="5" t="str">
        <x:v>Pending review</x:v>
      </x:c>
    </x:row>
    <x:row r="38" ht="120" customHeight="1">
      <x:c r="A38" s="8" t="str">
        <x:v>R-034</x:v>
      </x:c>
      <x:c r="B38" s="8" t="str">
        <x:v>R3-C-01</x:v>
      </x:c>
      <x:c r="C38" s="8" t="str">
        <x:v>R3-G-01</x:v>
      </x:c>
      <x:c r="D38" s="8" t="str">
        <x:v>Agreed under D01</x:v>
      </x:c>
      <x:c r="E38" s="8" t="n">
        <x:v>2</x:v>
      </x:c>
      <x:c r="F38" s="8" t="n">
        <x:v>4</x:v>
      </x:c>
      <x:c r="G38" s="8" t="n">
        <x:v>2</x:v>
      </x:c>
      <x:c r="H38" s="8" t="n">
        <x:v>4</x:v>
      </x:c>
      <x:c r="I38" s="8" t="str">
        <x:v>Cause, event and impact separated; wording aligned to pandemic onset. Source evidence and controls remain unverified. Proposed code R3-C-01 to R3-G-01 based on primary cause or index placement.</x:v>
      </x:c>
      <x:c r="J38" s="8" t="str">
        <x:v>Classification approved by Chris, 2026-10-18; assessment pending</x:v>
      </x:c>
    </x:row>
    <x:row r="39" ht="42" customHeight="1">
      <x:c r="A39" s="5" t="str">
        <x:v>R-035</x:v>
      </x:c>
      <x:c r="B39" s="5" t="str">
        <x:v>R4-P-01</x:v>
      </x:c>
      <x:c r="C39" s="5" t="str">
        <x:v>R4-P-01</x:v>
      </x:c>
      <x:c r="D39" s="5" t="str">
        <x:v>Retained</x:v>
      </x:c>
      <x:c r="E39" s="5" t="n">
        <x:v>4</x:v>
      </x:c>
      <x:c r="F39" s="5" t="n">
        <x:v>3</x:v>
      </x:c>
      <x:c r="G39" s="5" t="n">
        <x:v>4</x:v>
      </x:c>
      <x:c r="H39" s="5" t="n">
        <x:v>3</x:v>
      </x:c>
      <x:c r="I39" s="5" t="str">
        <x:v>Cause, event and impact separated; wording aligned to pandemic onset. Source evidence and controls remain unverified.</x:v>
      </x:c>
      <x:c r="J39" s="5" t="str">
        <x:v>Pending review</x:v>
      </x:c>
    </x:row>
    <x:row r="40" ht="120" customHeight="1">
      <x:c r="A40" s="8" t="str">
        <x:v>R-036</x:v>
      </x:c>
      <x:c r="B40" s="8" t="str">
        <x:v>R4-C-01</x:v>
      </x:c>
      <x:c r="C40" s="8" t="str">
        <x:v>R4-G-01</x:v>
      </x:c>
      <x:c r="D40" s="8" t="str">
        <x:v>Agreed under D01</x:v>
      </x:c>
      <x:c r="E40" s="8" t="n">
        <x:v>3</x:v>
      </x:c>
      <x:c r="F40" s="8" t="n">
        <x:v>3</x:v>
      </x:c>
      <x:c r="G40" s="8" t="n">
        <x:v>3</x:v>
      </x:c>
      <x:c r="H40" s="8" t="n">
        <x:v>3</x:v>
      </x:c>
      <x:c r="I40" s="8" t="str">
        <x:v>Cause, event and impact separated; wording aligned to pandemic onset. Source evidence and controls remain unverified. Proposed code R4-C-01 to R4-G-01 based on primary cause or index placement.</x:v>
      </x:c>
      <x:c r="J40" s="8" t="str">
        <x:v>Classification approved by Chris, 2026-10-18; assessment pending</x:v>
      </x:c>
    </x:row>
    <x:row r="41" ht="42" customHeight="1">
      <x:c r="A41" s="5" t="str">
        <x:v>R-037</x:v>
      </x:c>
      <x:c r="B41" s="5" t="str">
        <x:v>M1-E-01</x:v>
      </x:c>
      <x:c r="C41" s="5" t="str">
        <x:v>M1-E-01</x:v>
      </x:c>
      <x:c r="D41" s="5" t="str">
        <x:v>Retained</x:v>
      </x:c>
      <x:c r="E41" s="5" t="n">
        <x:v>4</x:v>
      </x:c>
      <x:c r="F41" s="5" t="n">
        <x:v>3</x:v>
      </x:c>
      <x:c r="G41" s="5" t="n">
        <x:v>4</x:v>
      </x:c>
      <x:c r="H41" s="5" t="n">
        <x:v>3</x:v>
      </x:c>
      <x:c r="I41" s="5" t="str">
        <x:v>Cause, event and impact separated; wording aligned to pandemic onset. Source evidence and controls remain unverified.</x:v>
      </x:c>
      <x:c r="J41" s="5" t="str">
        <x:v>Pending review</x:v>
      </x:c>
    </x:row>
    <x:row r="42" ht="42" customHeight="1">
      <x:c r="A42" s="8" t="str">
        <x:v>R-038</x:v>
      </x:c>
      <x:c r="B42" s="8" t="str">
        <x:v>M1-E-02</x:v>
      </x:c>
      <x:c r="C42" s="8" t="str">
        <x:v>M1-E-02</x:v>
      </x:c>
      <x:c r="D42" s="8" t="str">
        <x:v>Retained</x:v>
      </x:c>
      <x:c r="E42" s="8" t="n">
        <x:v>3</x:v>
      </x:c>
      <x:c r="F42" s="8" t="n">
        <x:v>3</x:v>
      </x:c>
      <x:c r="G42" s="8" t="n">
        <x:v>3</x:v>
      </x:c>
      <x:c r="H42" s="8" t="n">
        <x:v>3</x:v>
      </x:c>
      <x:c r="I42" s="8" t="str">
        <x:v>Cause, event and impact separated; wording aligned to pandemic onset. Source evidence and controls remain unverified.</x:v>
      </x:c>
      <x:c r="J42" s="8" t="str">
        <x:v>Pending review</x:v>
      </x:c>
    </x:row>
    <x:row r="43" ht="42" customHeight="1">
      <x:c r="A43" s="5" t="str">
        <x:v>R-039</x:v>
      </x:c>
      <x:c r="B43" s="5" t="str">
        <x:v>M1-E-03</x:v>
      </x:c>
      <x:c r="C43" s="5" t="str">
        <x:v>M1-E-03</x:v>
      </x:c>
      <x:c r="D43" s="5" t="str">
        <x:v>Retained</x:v>
      </x:c>
      <x:c r="E43" s="5" t="n">
        <x:v>5</x:v>
      </x:c>
      <x:c r="F43" s="5" t="n">
        <x:v>4</x:v>
      </x:c>
      <x:c r="G43" s="5" t="n">
        <x:v>5</x:v>
      </x:c>
      <x:c r="H43" s="5" t="n">
        <x:v>4</x:v>
      </x:c>
      <x:c r="I43" s="5" t="str">
        <x:v>Cause, event and impact separated; wording aligned to pandemic onset. Source evidence and controls remain unverified.</x:v>
      </x:c>
      <x:c r="J43" s="5" t="str">
        <x:v>Pending review</x:v>
      </x:c>
    </x:row>
    <x:row r="44" ht="42" customHeight="1">
      <x:c r="A44" s="8" t="str">
        <x:v>R-040</x:v>
      </x:c>
      <x:c r="B44" s="8" t="str">
        <x:v>M2-E-01</x:v>
      </x:c>
      <x:c r="C44" s="8" t="str">
        <x:v>M2-E-01</x:v>
      </x:c>
      <x:c r="D44" s="8" t="str">
        <x:v>Retained</x:v>
      </x:c>
      <x:c r="E44" s="8" t="n">
        <x:v>3</x:v>
      </x:c>
      <x:c r="F44" s="8" t="n">
        <x:v>3</x:v>
      </x:c>
      <x:c r="G44" s="8" t="n">
        <x:v>3</x:v>
      </x:c>
      <x:c r="H44" s="8" t="n">
        <x:v>3</x:v>
      </x:c>
      <x:c r="I44" s="8" t="str">
        <x:v>Cause, event and impact separated; wording aligned to pandemic onset. Source evidence and controls remain unverified.</x:v>
      </x:c>
      <x:c r="J44" s="8" t="str">
        <x:v>Pending review</x:v>
      </x:c>
    </x:row>
    <x:row r="45" ht="42" customHeight="1">
      <x:c r="A45" s="5" t="str">
        <x:v>R-041</x:v>
      </x:c>
      <x:c r="B45" s="5" t="str">
        <x:v>M3-E-01</x:v>
      </x:c>
      <x:c r="C45" s="5" t="str">
        <x:v>M3-E-01</x:v>
      </x:c>
      <x:c r="D45" s="5" t="str">
        <x:v>Retained</x:v>
      </x:c>
      <x:c r="E45" s="5" t="n">
        <x:v>5</x:v>
      </x:c>
      <x:c r="F45" s="5" t="n">
        <x:v>4</x:v>
      </x:c>
      <x:c r="G45" s="5" t="n">
        <x:v>4</x:v>
      </x:c>
      <x:c r="H45" s="5" t="n">
        <x:v>4</x:v>
      </x:c>
      <x:c r="I45" s="5" t="str">
        <x:v>Cause, event and impact separated; wording aligned to pandemic onset. Source evidence and controls remain unverified. Proposed scores 5/4 to 4/4; see assessment reasoning.</x:v>
      </x:c>
      <x:c r="J45" s="5" t="str">
        <x:v>Pending review</x:v>
      </x:c>
    </x:row>
    <x:row r="46" ht="42" customHeight="1">
      <x:c r="A46" s="8" t="str">
        <x:v>R-042</x:v>
      </x:c>
      <x:c r="B46" s="8" t="str">
        <x:v>M3-E-02</x:v>
      </x:c>
      <x:c r="C46" s="8" t="str">
        <x:v>M3-E-02</x:v>
      </x:c>
      <x:c r="D46" s="8" t="str">
        <x:v>Retained</x:v>
      </x:c>
      <x:c r="E46" s="8" t="n">
        <x:v>3</x:v>
      </x:c>
      <x:c r="F46" s="8" t="n">
        <x:v>4</x:v>
      </x:c>
      <x:c r="G46" s="8" t="n">
        <x:v>3</x:v>
      </x:c>
      <x:c r="H46" s="8" t="n">
        <x:v>4</x:v>
      </x:c>
      <x:c r="I46" s="8" t="str">
        <x:v>Cause, event and impact separated; wording aligned to pandemic onset. Source evidence and controls remain unverified.</x:v>
      </x:c>
      <x:c r="J46" s="8" t="str">
        <x:v>Pending review</x:v>
      </x:c>
    </x:row>
    <x:row r="47" ht="42" customHeight="1">
      <x:c r="A47" s="5" t="str">
        <x:v>R-043</x:v>
      </x:c>
      <x:c r="B47" s="5" t="str">
        <x:v>M3-E-03</x:v>
      </x:c>
      <x:c r="C47" s="5" t="str">
        <x:v>M3-E-03</x:v>
      </x:c>
      <x:c r="D47" s="5" t="str">
        <x:v>Retained</x:v>
      </x:c>
      <x:c r="E47" s="5" t="n">
        <x:v>3</x:v>
      </x:c>
      <x:c r="F47" s="5" t="n">
        <x:v>3</x:v>
      </x:c>
      <x:c r="G47" s="5" t="n">
        <x:v>3</x:v>
      </x:c>
      <x:c r="H47" s="5" t="n">
        <x:v>3</x:v>
      </x:c>
      <x:c r="I47" s="5" t="str">
        <x:v>Cause, event and impact separated; wording aligned to pandemic onset. Source evidence and controls remain unverified.</x:v>
      </x:c>
      <x:c r="J47" s="5" t="str">
        <x:v>Pending review</x:v>
      </x:c>
    </x:row>
    <x:row r="48" ht="42" customHeight="1">
      <x:c r="A48" s="8" t="str">
        <x:v>R-044</x:v>
      </x:c>
      <x:c r="B48" s="8" t="str">
        <x:v>M4-S-01</x:v>
      </x:c>
      <x:c r="C48" s="8" t="str">
        <x:v>M4-S-01</x:v>
      </x:c>
      <x:c r="D48" s="8" t="str">
        <x:v>Retained</x:v>
      </x:c>
      <x:c r="E48" s="8" t="n">
        <x:v>4</x:v>
      </x:c>
      <x:c r="F48" s="8" t="n">
        <x:v>3</x:v>
      </x:c>
      <x:c r="G48" s="8" t="n">
        <x:v>4</x:v>
      </x:c>
      <x:c r="H48" s="8" t="n">
        <x:v>3</x:v>
      </x:c>
      <x:c r="I48" s="8" t="str">
        <x:v>Cause, event and impact separated; wording aligned to pandemic onset. Source evidence and controls remain unverified.</x:v>
      </x:c>
      <x:c r="J48" s="8" t="str">
        <x:v>Pending review</x:v>
      </x:c>
    </x:row>
    <x:row r="49" ht="120" customHeight="1">
      <x:c r="A49" s="5" t="str">
        <x:v>R-045</x:v>
      </x:c>
      <x:c r="B49" s="5" t="str">
        <x:v>M5-T-01</x:v>
      </x:c>
      <x:c r="C49" s="5" t="str">
        <x:v>M2-G-01</x:v>
      </x:c>
      <x:c r="D49" s="5" t="str">
        <x:v>Agreed under D01</x:v>
      </x:c>
      <x:c r="E49" s="5" t="n">
        <x:v>4</x:v>
      </x:c>
      <x:c r="F49" s="5" t="n">
        <x:v>3</x:v>
      </x:c>
      <x:c r="G49" s="5" t="n">
        <x:v>4</x:v>
      </x:c>
      <x:c r="H49" s="5" t="n">
        <x:v>3</x:v>
      </x:c>
      <x:c r="I49" s="5" t="str">
        <x:v>Cause, event and impact separated; wording aligned to pandemic onset. Source evidence and controls remain unverified. Proposed code M5-T-01 to M2-G-01 based on primary cause or index placement. M5 to M2 and customer-expectations focus agreed with Chris; source G remains proposed.</x:v>
      </x:c>
      <x:c r="J49" s="5" t="str">
        <x:v>Classification approved by Chris, 2026-10-18; assessment pending</x:v>
      </x:c>
    </x:row>
  </x:sheetData>
  <x:pageMargins left="0.7" right="0.7" top="0.75" bottom="0.75" header="0.3" footer="0.3"/>
  <x:tableParts count="1">
    <x:tablePart xmlns:r="http://schemas.openxmlformats.org/officeDocument/2006/relationships" r:id="Rf204ee49323c43bd"/>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17" hidden="0" customWidth="1"/>
    <x:col min="3" max="3" width="55" hidden="0" customWidth="1"/>
    <x:col min="4" max="4" width="22" hidden="0" customWidth="1"/>
    <x:col min="5" max="5" width="110" hidden="0" customWidth="1"/>
    <x:col min="6" max="6" width="55" hidden="0" customWidth="1"/>
    <x:col min="7" max="7" width="12" hidden="0" customWidth="1"/>
    <x:col min="8" max="8" width="12" hidden="0" customWidth="1"/>
    <x:col min="9" max="9" width="24" hidden="0" customWidth="1"/>
    <x:col min="10" max="10" width="110" hidden="0" customWidth="1"/>
    <x:col min="11" max="11" width="55" hidden="0" customWidth="1"/>
  </x:cols>
  <x:sheetData>
    <x:row r="1">
      <x:c r="A1" s="1"/>
      <x:c r="B1" s="1"/>
      <x:c r="C1" s="1"/>
      <x:c r="D1" s="1"/>
      <x:c r="E1" s="1"/>
      <x:c r="F1" s="1"/>
      <x:c r="G1" s="1"/>
      <x:c r="H1" s="1"/>
    </x:row>
    <x:row r="2">
      <x:c r="A2" s="2" t="str">
        <x:v>Source Records</x:v>
      </x:c>
      <x:c r="B2" s="1"/>
      <x:c r="C2" s="1"/>
      <x:c r="D2" s="1"/>
      <x:c r="E2" s="1"/>
      <x:c r="F2" s="1"/>
      <x:c r="G2" s="1"/>
      <x:c r="H2" s="1"/>
    </x:row>
    <x:row r="3" ht="24" customHeight="1">
      <x:c r="A3" s="1" t="str">
        <x:v>Original wording retained, including conflicting assumptions and later-dated evidence. These are sources, not approved assessments.</x:v>
      </x:c>
      <x:c r="B3" s="1"/>
      <x:c r="C3" s="1"/>
      <x:c r="D3" s="1"/>
      <x:c r="E3" s="1"/>
      <x:c r="F3" s="1"/>
      <x:c r="G3" s="1"/>
      <x:c r="H3" s="1"/>
    </x:row>
    <x:row r="5" ht="42" customHeight="1">
      <x:c r="A5" s="7" t="str">
        <x:v>Record ID</x:v>
      </x:c>
      <x:c r="B5" s="7" t="str">
        <x:v>Nathan code</x:v>
      </x:c>
      <x:c r="C5" s="7" t="str">
        <x:v>Nathan risk</x:v>
      </x:c>
      <x:c r="D5" s="7" t="str">
        <x:v>Lester code as supplied</x:v>
      </x:c>
      <x:c r="E5" s="7" t="str">
        <x:v>Lester nature text</x:v>
      </x:c>
      <x:c r="F5" s="7" t="str">
        <x:v>Urman risk</x:v>
      </x:c>
      <x:c r="G5" s="7" t="str">
        <x:v>Urman L</x:v>
      </x:c>
      <x:c r="H5" s="7" t="str">
        <x:v>Urman M</x:v>
      </x:c>
      <x:c r="I5" s="7" t="str">
        <x:v>Urman original score and band</x:v>
      </x:c>
      <x:c r="J5" s="7" t="str">
        <x:v>Urman potential impact</x:v>
      </x:c>
      <x:c r="K5" s="7" t="str">
        <x:v>Source files</x:v>
      </x:c>
    </x:row>
    <x:row r="6" ht="72" customHeight="1">
      <x:c r="A6" s="8" t="str">
        <x:v>R-001</x:v>
      </x:c>
      <x:c r="B6" s="8" t="str">
        <x:v>F1-E-01</x:v>
      </x:c>
      <x:c r="C6" s="8" t="str">
        <x:v>New pandemic costs (crisis leadership team, pandemic plan) exceed available funds</x:v>
      </x:c>
      <x:c r="D6" s="8" t="str">
        <x:v>F1-E1-01</x:v>
      </x:c>
      <x:c r="E6" s="8" t="str">
        <x:v>A global pandemic brings unprecedented challenges for business organizations. ITrustU will need to develop a crisis leadership team and pandemic plan that covers the way they operate, fulfill shifting customer demand, secure company data integrity, and comply with new regulations. ITrustU needs to adapt swiftly, and it will require additional fundings that might exceed company reserved amount. </x:v>
      </x:c>
      <x:c r="F6" s="8" t="str">
        <x:v>New pandemic costs exceed available funds</x:v>
      </x:c>
      <x:c r="G6" s="8" t="n">
        <x:v>3</x:v>
      </x:c>
      <x:c r="H6" s="8" t="n">
        <x:v>4</x:v>
      </x:c>
      <x:c r="I6" s="8" t="str">
        <x:v>12 High</x:v>
      </x:c>
      <x:c r="J6" s="8" t="str">
        <x:v>Financial: response spending outruns available funds, forcing cuts to planned controls. Flows to Infrastructure, since remote-work equipment and IT resilience are the largest planned items, and to Reputation if service investment is deferred. Threatens the objective of funding the controls that keep essential services running. Dependency: technology, suppliers.</x:v>
      </x:c>
      <x:c r="K6" s="8" t="str">
        <x:v>Nathan: Risk Record - References.docx; Lester: Risk Record - Nature of Risk.docx; Urman: Risk_Record_Potential_Impact.docx</x:v>
      </x:c>
    </x:row>
    <x:row r="7" ht="72" customHeight="1">
      <x:c r="A7" s="5" t="str">
        <x:v>R-002</x:v>
      </x:c>
      <x:c r="B7" s="5" t="str">
        <x:v>F1-S-01</x:v>
      </x:c>
      <x:c r="C7" s="5" t="str">
        <x:v>Tiva support is unavailable, or their terms are unclear.</x:v>
      </x:c>
      <x:c r="D7" s="5" t="str">
        <x:v>F1-S-01</x:v>
      </x:c>
      <x:c r="E7" s="5" t="str">
        <x:v>Being backed by the world’s 6th largest insurance group Tiva, we may expect some levels of support from them. But the exact terms are unclear from Tiva, as in what kind of support we may get, and by how much. ITrustU should not develop its pandemic plan around the assumption of support from Tiva, but keep in mind that it’s a potential source that is worth following up on. </x:v>
      </x:c>
      <x:c r="F7" s="5" t="str">
        <x:v>Tiva support unavailable or terms unclear</x:v>
      </x:c>
      <x:c r="G7" s="5" t="n">
        <x:v>3</x:v>
      </x:c>
      <x:c r="H7" s="5" t="n">
        <x:v>4</x:v>
      </x:c>
      <x:c r="I7" s="5" t="str">
        <x:v>12 High</x:v>
      </x:c>
      <x:c r="J7" s="5" t="str">
        <x:v>Financial: the support assumed throughout the plan does not arrive, or arrives on terms we cannot accept. Cross-effects in all four areas, since Tiva is relied on for funds, specialist expertise and independent control review. Undermines the resourcing assumptions in both Risk Strategy and Risk Resources. Dependency: suppliers and third parties.</x:v>
      </x:c>
      <x:c r="K7" s="5" t="str">
        <x:v>Nathan: Risk Record - References.docx; Lester: Risk Record - Nature of Risk.docx; Urman: Risk_Record_Potential_Impact.docx</x:v>
      </x:c>
    </x:row>
    <x:row r="8" ht="87" customHeight="1">
      <x:c r="A8" s="8" t="str">
        <x:v>R-003</x:v>
      </x:c>
      <x:c r="B8" s="8" t="str">
        <x:v>F2-P-01</x:v>
      </x:c>
      <x:c r="C8" s="8" t="str">
        <x:v>Resources do not match risk priorities</x:v>
      </x:c>
      <x:c r="D8" s="8" t="str">
        <x:v>F2-P-02</x:v>
      </x:c>
      <x:c r="E8" s="8" t="str">
        <x:v>After completing our Riskiness Index, marketplace and reputation turned out to be the most at-risk sections with scores of 15 and 14 while infrastructure and financial are lower with score of 13 out of 20. It’s likely that our focus on risk management plan is on the wrong section. Specialists required may not follow our risks focus, for example we don’t have a crisis leadership team to develop a pandemic plan in place, or specialized IT team to prevent cyber-attacks. </x:v>
      </x:c>
      <x:c r="F8" s="8" t="str">
        <x:v>Resources do not match risk priorities</x:v>
      </x:c>
      <x:c r="G8" s="8" t="n">
        <x:v>4</x:v>
      </x:c>
      <x:c r="H8" s="8" t="n">
        <x:v>3</x:v>
      </x:c>
      <x:c r="I8" s="8" t="str">
        <x:v>12 High</x:v>
      </x:c>
      <x:c r="J8" s="8" t="str">
        <x:v>Financial: allocation continues by habit rather than by rated exposure, leaving our highest risks under-resourced. Cross-effects on Infrastructure and Reputation, the two areas already identified as under-resourced relative to exposure. Conflicts directly with the allocation approach set out in Risk Resources. Dependency: people.</x:v>
      </x:c>
      <x:c r="K8" s="8" t="str">
        <x:v>Nathan: Risk Record - References.docx; Lester: Risk Record - Nature of Risk.docx; Urman: Risk_Record_Potential_Impact.docx</x:v>
      </x:c>
    </x:row>
    <x:row r="9" ht="72" customHeight="1">
      <x:c r="A9" s="5" t="str">
        <x:v>R-004</x:v>
      </x:c>
      <x:c r="B9" s="5" t="str">
        <x:v>F2-E-01</x:v>
      </x:c>
      <x:c r="C9" s="5" t="str">
        <x:v>Selling volatile, slow-to-sell assets at a loss to pay claims.</x:v>
      </x:c>
      <x:c r="D9" s="5" t="str">
        <x:v>F2-E-01</x:v>
      </x:c>
      <x:c r="E9" s="5" t="str">
        <x:v>ITrustU might need to sell volatiles at a loss to pay the huge lump sum of claims during a pandemic, especially during the initial phase when there is a large shift in claim demands. We can expect an unusual amount of flight cancellation claims, life insurance, home coverage, and pension plans while there is likely to be less travel and car insurance claims. </x:v>
      </x:c>
      <x:c r="F9" s="5" t="str">
        <x:v>Selling volatile assets at a loss to pay claims</x:v>
      </x:c>
      <x:c r="G9" s="5" t="n">
        <x:v>3</x:v>
      </x:c>
      <x:c r="H9" s="5" t="n">
        <x:v>4</x:v>
      </x:c>
      <x:c r="I9" s="5" t="str">
        <x:v>12 High</x:v>
      </x:c>
      <x:c r="J9" s="5" t="str">
        <x:v>Financial: assets are sold into a falling market to meet claims, realising losses and sacrificing long-term returns. Cross-effects on Marketplace through reduced investment income and on Reputation if liquidity pressure becomes visible. Threatens the objective of meeting policyholder obligations without weakening the balance sheet. Dependency: information.</x:v>
      </x:c>
      <x:c r="K9" s="5" t="str">
        <x:v>Nathan: Risk Record - References.docx; Lester: Risk Record - Nature of Risk.docx; Urman: Risk_Record_Potential_Impact.docx</x:v>
      </x:c>
    </x:row>
    <x:row r="10" ht="87" customHeight="1">
      <x:c r="A10" s="8" t="str">
        <x:v>R-005</x:v>
      </x:c>
      <x:c r="B10" s="8" t="str">
        <x:v>F3-T-01</x:v>
      </x:c>
      <x:c r="C10" s="8" t="str">
        <x:v>Cyber fraud causes false claim payouts</x:v>
      </x:c>
      <x:c r="D10" s="8" t="str">
        <x:v>F3-T-01</x:v>
      </x:c>
      <x:c r="E10" s="8" t="str">
        <x:v>Cyber threats are more frequent during lockdown, especially in the form of fake claims that cause company financial loss. For example, people may fake medical bills, hack customer accounts or alter claim records to unlawfully obtain claims. Just recently, a Florida man pleaded guilty for this role in a COVID-era healthcare fraud scheme, with more than $500 million in fake claims to government-backed health programs (Owens, 2026).</x:v>
      </x:c>
      <x:c r="F10" s="8" t="str">
        <x:v>Cyber fraud causes false claim payouts</x:v>
      </x:c>
      <x:c r="G10" s="8" t="n">
        <x:v>3</x:v>
      </x:c>
      <x:c r="H10" s="8" t="n">
        <x:v>4</x:v>
      </x:c>
      <x:c r="I10" s="8" t="str">
        <x:v>12 High</x:v>
      </x:c>
      <x:c r="J10" s="8" t="str">
        <x:v>Financial: fraudulent claims are paid because remote working has weakened verification and approval. Cross-effects on Reputation through regulatory exposure and on Infrastructure, since the gap is technological. Strikes internal controls, already one of our weakest areas. Dependency: technology, information.</x:v>
      </x:c>
      <x:c r="K10" s="8" t="str">
        <x:v>Nathan: Risk Record - References.docx; Lester: Risk Record - Nature of Risk.docx; Urman: Risk_Record_Potential_Impact.docx</x:v>
      </x:c>
    </x:row>
    <x:row r="11" ht="57" customHeight="1">
      <x:c r="A11" s="5" t="str">
        <x:v>R-006</x:v>
      </x:c>
      <x:c r="B11" s="5" t="str">
        <x:v>F3-S-01</x:v>
      </x:c>
      <x:c r="C11" s="5" t="str">
        <x:v>Important controls depend on outsourced vendors</x:v>
      </x:c>
      <x:c r="D11" s="5" t="str">
        <x:v>F3-S-01</x:v>
      </x:c>
      <x:c r="E11" s="5" t="str">
        <x:v>ITrustU replies on 3rd party providers for services like back-up storage, web server hosting, internet connections, and any additional platforms or services we may need for the pandemic. But any failures in those sections are our responsibilities, and we will have to deal with the aftermath. </x:v>
      </x:c>
      <x:c r="F11" s="5" t="str">
        <x:v>Important controls depend on outsourced vendors</x:v>
      </x:c>
      <x:c r="G11" s="5" t="n">
        <x:v>4</x:v>
      </x:c>
      <x:c r="H11" s="5" t="n">
        <x:v>3</x:v>
      </x:c>
      <x:c r="I11" s="5" t="str">
        <x:v>12 High</x:v>
      </x:c>
      <x:c r="J11" s="5" t="str">
        <x:v>Financial: key controls sit with vendors whose own pandemic disruption we cannot see or manage. Cross-effects on Infrastructure and Reputation, since accountability for a vendor failure remains ours regardless of cause. Dependency: suppliers and third parties.</x:v>
      </x:c>
      <x:c r="K11" s="5" t="str">
        <x:v>Nathan: Risk Record - References.docx; Lester: Risk Record - Nature of Risk.docx; Urman: Risk_Record_Potential_Impact.docx</x:v>
      </x:c>
    </x:row>
    <x:row r="12" ht="72" customHeight="1">
      <x:c r="A12" s="8" t="str">
        <x:v>R-007</x:v>
      </x:c>
      <x:c r="B12" s="8" t="str">
        <x:v>F3-S-02</x:v>
      </x:c>
      <x:c r="C12" s="8" t="str">
        <x:v>Bank partners delay or fail to remit premiums</x:v>
      </x:c>
      <x:c r="D12" s="8" t="str">
        <x:v>F3-S-02</x:v>
      </x:c>
      <x:c r="E12" s="8" t="str">
        <x:v>Other businesses like banks are affected by pandemic as well and may not be able to transfer customers premiums to ITrustU on time or deny transfer completely. This may be due to banks experiencing technical issues, or financial difficulties of their own. In this case, we will have to cover the gap by ourselves through means like selling volatiles at a loss etc. </x:v>
      </x:c>
      <x:c r="F12" s="8" t="str">
        <x:v>Bank partners delay or fail to remit premiums</x:v>
      </x:c>
      <x:c r="G12" s="8" t="n">
        <x:v>2</x:v>
      </x:c>
      <x:c r="H12" s="8" t="n">
        <x:v>4</x:v>
      </x:c>
      <x:c r="I12" s="8" t="str">
        <x:v>8 Moderate</x:v>
      </x:c>
      <x:c r="J12" s="8" t="str">
        <x:v>Financial: premium remittance is delayed or fails, interrupting cash inflow at a point when liquidity is already under pressure. Cross-effect on Marketplace if collection problems affect renewal. Threatens the objective of maintaining premium collection. Dependency: suppliers.</x:v>
      </x:c>
      <x:c r="K12" s="8" t="str">
        <x:v>Nathan: Risk Record - References.docx; Lester: Risk Record - Nature of Risk.docx; Urman: Risk_Record_Potential_Impact.docx</x:v>
      </x:c>
    </x:row>
    <x:row r="13" ht="57" customHeight="1">
      <x:c r="A13" s="5" t="str">
        <x:v>R-008</x:v>
      </x:c>
      <x:c r="B13" s="5" t="str">
        <x:v>F3-S-03</x:v>
      </x:c>
      <x:c r="C13" s="5" t="str">
        <x:v>Reinsurers cannot pay recoveries</x:v>
      </x:c>
      <x:c r="D13" s="5" t="str">
        <x:v>F3-S-03</x:v>
      </x:c>
      <x:c r="E13" s="5" t="str">
        <x:v>The same issue can be applied to reinsurers of ITrustU, resulting in delay in paying customer claims and loss of company assets. “The top 20 global reinsurers reported about $12 billion in COVID-19 losses in the first six months of 2020, according to S$P (Lockton, 2020)”.</x:v>
      </x:c>
      <x:c r="F13" s="5" t="str">
        <x:v>Reinsurers cannot pay recoveries</x:v>
      </x:c>
      <x:c r="G13" s="5" t="n">
        <x:v>2</x:v>
      </x:c>
      <x:c r="H13" s="5" t="n">
        <x:v>5</x:v>
      </x:c>
      <x:c r="I13" s="5" t="str">
        <x:v>10 High</x:v>
      </x:c>
      <x:c r="J13" s="5" t="str">
        <x:v>Financial: our main protection against an accumulation of claims fails. Unlikely in any given period but potentially severe, with cross-effects on Reputation and on our ability to meet policyholder obligations. Dependency: suppliers and third parties.</x:v>
      </x:c>
      <x:c r="K13" s="5" t="str">
        <x:v>Nathan: Risk Record - References.docx; Lester: Risk Record - Nature of Risk.docx; Urman: Risk_Record_Potential_Impact.docx</x:v>
      </x:c>
    </x:row>
    <x:row r="14" ht="72" customHeight="1">
      <x:c r="A14" s="8" t="str">
        <x:v>R-009</x:v>
      </x:c>
      <x:c r="B14" s="8" t="str">
        <x:v>F3-E-01</x:v>
      </x:c>
      <x:c r="C14" s="8" t="str">
        <x:v>Bond issuers default</x:v>
      </x:c>
      <x:c r="D14" s="8" t="str">
        <x:v>F3-E-01</x:v>
      </x:c>
      <x:c r="E14" s="8" t="str">
        <x:v>ITrustU invests parts of the premium collected into Canadian stocks and bonds to maintain business operation. Bond issuers could face financial difficulties in returning company investment plus interest. Dealers may face challenging funding conditions to keep up their supply of liquidity (Fontaine &amp; Walton, 2020). </x:v>
      </x:c>
      <x:c r="F14" s="8" t="str">
        <x:v>Bond issuers default</x:v>
      </x:c>
      <x:c r="G14" s="8" t="n">
        <x:v>2</x:v>
      </x:c>
      <x:c r="H14" s="8" t="n">
        <x:v>4</x:v>
      </x:c>
      <x:c r="I14" s="8" t="str">
        <x:v>8 Moderate</x:v>
      </x:c>
      <x:c r="J14" s="8" t="str">
        <x:v>Financial: defaults in a stressed credit market reduce asset values and investment income. Cross-effect on Marketplace. Dependency: information, through portfolio monitoring.</x:v>
      </x:c>
      <x:c r="K14" s="8" t="str">
        <x:v>Nathan: Risk Record - References.docx; Lester: Risk Record - Nature of Risk.docx; Urman: Risk_Record_Potential_Impact.docx</x:v>
      </x:c>
    </x:row>
    <x:row r="15" ht="72" customHeight="1">
      <x:c r="A15" s="5" t="str">
        <x:v>R-010</x:v>
      </x:c>
      <x:c r="B15" s="5" t="str">
        <x:v>F4-E-01</x:v>
      </x:c>
      <x:c r="C15" s="5" t="str">
        <x:v>A weather catastrophe causes more claims than reserves and cash can cover</x:v>
      </x:c>
      <x:c r="D15" s="5" t="str">
        <x:v>F4-E-01</x:v>
      </x:c>
      <x:c r="E15" s="5" t="str">
        <x:v>Devastating extreme weather events can cause property damage, resulting in more claims, potentially surpass what company reserve and cash can cover. This has been an increasingly severe financial issue for insurance companies. Canada’s annual insured losses has nearly tripled the previous decade, adjusted for inflation (Severe Weather-Related Insured Losses in Canada Exceed $2.4 Billion in 2025, n.d.). </x:v>
      </x:c>
      <x:c r="F15" s="5" t="str">
        <x:v>Weather catastrophe exceeds reserves and cash</x:v>
      </x:c>
      <x:c r="G15" s="5" t="n">
        <x:v>2</x:v>
      </x:c>
      <x:c r="H15" s="5" t="n">
        <x:v>5</x:v>
      </x:c>
      <x:c r="I15" s="5" t="str">
        <x:v>10 High</x:v>
      </x:c>
      <x:c r="J15" s="5" t="str">
        <x:v>Financial: an Ontario catastrophe produces claims beyond what reserves and cash can absorb. Low likelihood in any one period but severe, with cross-effects on Reputation and Marketplace if settlement is delayed. Reserve adequacy is already a known weakness. Dependency: suppliers, through repair capacity.</x:v>
      </x:c>
      <x:c r="K15" s="5" t="str">
        <x:v>Nathan: Risk Record - References.docx; Lester: Risk Record - Nature of Risk.docx; Urman: Risk_Record_Potential_Impact.docx</x:v>
      </x:c>
    </x:row>
    <x:row r="16" ht="72" customHeight="1">
      <x:c r="A16" s="8" t="str">
        <x:v>R-011</x:v>
      </x:c>
      <x:c r="B16" s="8" t="str">
        <x:v>F4-E-02</x:v>
      </x:c>
      <x:c r="C16" s="8" t="str">
        <x:v>Travel, medical, and cancellation claims rise at the same time</x:v>
      </x:c>
      <x:c r="D16" s="8" t="str">
        <x:v>F4-E-02</x:v>
      </x:c>
      <x:c r="E16" s="8" t="str">
        <x:v>One of the main impacts from pandemic is the sudden rise of claims related to travel cancellation and health. Due to regulations in place like limited travel, closed borders, and social distancing, people might be forced to cancel any travel plan they already made. Following the spread of COVID-19, life insurance claims are most likely to surge suddenly. This is the main area company reserve will be used for. </x:v>
      </x:c>
      <x:c r="F16" s="8" t="str">
        <x:v>Travel, medical and cancellation claims rise together</x:v>
      </x:c>
      <x:c r="G16" s="8" t="n">
        <x:v>4</x:v>
      </x:c>
      <x:c r="H16" s="8" t="n">
        <x:v>4</x:v>
      </x:c>
      <x:c r="I16" s="8" t="str">
        <x:v>16 Extreme</x:v>
      </x:c>
      <x:c r="J16" s="8" t="str">
        <x:v>Financial: claims that normally spread across the year arrive at once, concentrating payout into a short window. Cross-effects on Infrastructure through claims-handling capacity and on Reputation through settlement delay. Directly threatens reserve adequacy. Dependency: people, information.</x:v>
      </x:c>
      <x:c r="K16" s="8" t="str">
        <x:v>Nathan: Risk Record - References.docx; Lester: Risk Record - Nature of Risk.docx; Urman: Risk_Record_Potential_Impact.docx</x:v>
      </x:c>
    </x:row>
    <x:row r="17" ht="57" customHeight="1">
      <x:c r="A17" s="5" t="str">
        <x:v>R-012</x:v>
      </x:c>
      <x:c r="B17" s="5" t="str">
        <x:v>F4-E-03</x:v>
      </x:c>
      <x:c r="C17" s="5" t="str">
        <x:v>Lower interest rates increase pension rates</x:v>
      </x:c>
      <x:c r="D17" s="5" t="str">
        <x:v>F4-E-03</x:v>
      </x:c>
      <x:c r="E17" s="5" t="str">
        <x:v>A lower interest rate will require company to invest more to gain fundings to pay for customer pension plans. </x:v>
      </x:c>
      <x:c r="F17" s="5" t="str">
        <x:v>Lower interest rates raise pension liabilities</x:v>
      </x:c>
      <x:c r="G17" s="5" t="n">
        <x:v>5</x:v>
      </x:c>
      <x:c r="H17" s="5" t="n">
        <x:v>3</x:v>
      </x:c>
      <x:c r="I17" s="5" t="str">
        <x:v>15 Extreme</x:v>
      </x:c>
      <x:c r="J17" s="5" t="str">
        <x:v>Financial: with the policy rate at its lower bound, falling yields raise the present value of long-dated pension and life liabilities while reducing the income available to fund them. Near-certain in the current environment. Cross-effect on Marketplace. Dependency: information.</x:v>
      </x:c>
      <x:c r="K17" s="5" t="str">
        <x:v>Nathan: Risk Record - References.docx; Lester: Risk Record - Nature of Risk.docx; Urman: Risk_Record_Potential_Impact.docx</x:v>
      </x:c>
    </x:row>
    <x:row r="18" ht="72" customHeight="1">
      <x:c r="A18" s="8" t="str">
        <x:v>R-014</x:v>
      </x:c>
      <x:c r="B18" s="8" t="str">
        <x:v>I1-P-01</x:v>
      </x:c>
      <x:c r="C18" s="8" t="str">
        <x:v>No remote work plan exists</x:v>
      </x:c>
      <x:c r="D18" s="8" t="str">
        <x:v>I1-P-01</x:v>
      </x:c>
      <x:c r="E18" s="8" t="str">
        <x:v>One of the main sections that the pandemic plan will need to address is a remote work plan. A good remote work plan is key to maintaining company operation because everything will be moved online due to social distancing policy in place. </x:v>
      </x:c>
      <x:c r="F18" s="8" t="str">
        <x:v>No remote work plan exists</x:v>
      </x:c>
      <x:c r="G18" s="8" t="n">
        <x:v>5</x:v>
      </x:c>
      <x:c r="H18" s="8" t="n">
        <x:v>4</x:v>
      </x:c>
      <x:c r="I18" s="8" t="str">
        <x:v>20 Extreme</x:v>
      </x:c>
      <x:c r="J18" s="8" t="str">
        <x:v>Infrastructure: every subsequent remote-working control has to be designed under crisis conditions rather than drawn from a plan. Cross-effects in all three other areas: unsecured access threatens Reputation, service interruption threatens Marketplace, improvised spending threatens Finance. This is the foundational gap from which several other risks follow. Dependency: people, technology.</x:v>
      </x:c>
      <x:c r="K18" s="8" t="str">
        <x:v>Nathan: Risk Record - References.docx; Lester: Risk Record - Nature of Risk.docx; Urman: Risk_Record_Potential_Impact.docx</x:v>
      </x:c>
    </x:row>
    <x:row r="19" ht="102" customHeight="1">
      <x:c r="A19" s="5" t="str">
        <x:v>R-015</x:v>
      </x:c>
      <x:c r="B19" s="5" t="str">
        <x:v>I1-P-02</x:v>
      </x:c>
      <x:c r="C19" s="5" t="str">
        <x:v>Staff availability decreases because of illness and isolation</x:v>
      </x:c>
      <x:c r="D19" s="5" t="str">
        <x:v>I1-P-02</x:v>
      </x:c>
      <x:c r="E19" s="5" t="str">
        <x:v>A remote working environment does not guarantee safety from the virus. People can still be infected through household members, going out when necessary and not following policy like social distancing, wearing a mask or wash hands frequently. The result of which is staff may become ill and isolated, in the worst case, death. ITrustU is one of Ontario’s largest insurers with a market share of around 70 percent, but only with 50+ staff. This limits our human resource flexibility, and isolation will likely cause mental health issues as well, which decreases productivity. </x:v>
      </x:c>
      <x:c r="F19" s="5" t="str">
        <x:v>Staff availability falls through illness and isolation</x:v>
      </x:c>
      <x:c r="G19" s="5" t="n">
        <x:v>4</x:v>
      </x:c>
      <x:c r="H19" s="5" t="n">
        <x:v>3</x:v>
      </x:c>
      <x:c r="I19" s="5" t="str">
        <x:v>12 High</x:v>
      </x:c>
      <x:c r="J19" s="5" t="str">
        <x:v>Infrastructure: a 50-person workforce has little redundancy, so absence removes capability rather than slowing it. Cross-effects on Reputation and Marketplace through service delay. Threatens the objective of maintaining claims processing and customer support. Dependency: people.</x:v>
      </x:c>
      <x:c r="K19" s="5" t="str">
        <x:v>Nathan: Risk Record - References.docx; Lester: Risk Record - Nature of Risk.docx; Urman: Risk_Record_Potential_Impact.docx</x:v>
      </x:c>
    </x:row>
    <x:row r="20" ht="87" customHeight="1">
      <x:c r="A20" s="8" t="str">
        <x:v>R-016</x:v>
      </x:c>
      <x:c r="B20" s="8" t="str">
        <x:v>I1-P-03</x:v>
      </x:c>
      <x:c r="C20" s="8" t="str">
        <x:v>Specialist roles are difficult to replace quickly</x:v>
      </x:c>
      <x:c r="D20" s="8" t="str">
        <x:v>I1-P-03</x:v>
      </x:c>
      <x:c r="E20" s="8" t="str">
        <x:v>Specialist roles are difficult to replace quickly for a major company with only 50+ employees across all its sectors, often some of them have only 1 or 2 staff. This means replacing a staff will often cost more time for other employees of the same sector or employees from other sectors to train them, reducing productivity significantly and causing work disruption. While shifting to remote work, employees are likely required to undergo additional training programs to ensure a smooth transition.  </x:v>
      </x:c>
      <x:c r="F20" s="8" t="str">
        <x:v>Specialist roles are hard to replace quickly</x:v>
      </x:c>
      <x:c r="G20" s="8" t="n">
        <x:v>2</x:v>
      </x:c>
      <x:c r="H20" s="8" t="n">
        <x:v>4</x:v>
      </x:c>
      <x:c r="I20" s="8" t="str">
        <x:v>8 Moderate</x:v>
      </x:c>
      <x:c r="J20" s="8" t="str">
        <x:v>Infrastructure: a single departure or illness in a specialist role removes a capability we cannot rebuild at short notice. Cross-effects on Reputation and Marketplace. Dependency: people.</x:v>
      </x:c>
      <x:c r="K20" s="8" t="str">
        <x:v>Nathan: Risk Record - References.docx; Lester: Risk Record - Nature of Risk.docx; Urman: Risk_Record_Potential_Impact.docx</x:v>
      </x:c>
    </x:row>
    <x:row r="21" ht="72" customHeight="1">
      <x:c r="A21" s="5" t="str">
        <x:v>R-017</x:v>
      </x:c>
      <x:c r="B21" s="5" t="str">
        <x:v>I1-P-04</x:v>
      </x:c>
      <x:c r="C21" s="5" t="str">
        <x:v>No employee has risk management as a main responsibility</x:v>
      </x:c>
      <x:c r="D21" s="5" t="str">
        <x:v>I1-P-04</x:v>
      </x:c>
      <x:c r="E21" s="5" t="str">
        <x:v>ITrustU did not prepare a pandemic risk management plan and is currently in development process. Therefore, no employee has risk management as their main responsibility, and this will be emphasized as part of the new employee remote work training program. Risk management is often like a chain: hazard happens when the weakiest link breaks. </x:v>
      </x:c>
      <x:c r="F21" s="5" t="str">
        <x:v>No employee owns risk management</x:v>
      </x:c>
      <x:c r="G21" s="5" t="n">
        <x:v>5</x:v>
      </x:c>
      <x:c r="H21" s="5" t="n">
        <x:v>3</x:v>
      </x:c>
      <x:c r="I21" s="5" t="str">
        <x:v>15 Extreme</x:v>
      </x:c>
      <x:c r="J21" s="5" t="str">
        <x:v>Infrastructure: with no one holding risk management as a primary responsibility, risks are identified late or missed. Certain, since this describes our current structure. Cross-effects across all four areas, because it degrades our ability to see any of them. Dependency: people.</x:v>
      </x:c>
      <x:c r="K21" s="5" t="str">
        <x:v>Nathan: Risk Record - References.docx; Lester: Risk Record - Nature of Risk.docx; Urman: Risk_Record_Potential_Impact.docx</x:v>
      </x:c>
    </x:row>
    <x:row r="22" ht="72" customHeight="1">
      <x:c r="A22" s="8" t="str">
        <x:v>R-018</x:v>
      </x:c>
      <x:c r="B22" s="8" t="str">
        <x:v>I2-T-01</x:v>
      </x:c>
      <x:c r="C22" s="8" t="str">
        <x:v>Not enough equipment available to deploy for remote work</x:v>
      </x:c>
      <x:c r="D22" s="8" t="str">
        <x:v>I2-T-01</x:v>
      </x:c>
      <x:c r="E22" s="8" t="str">
        <x:v>The company has 50 desktops with varying capabilities and only a couple of laptops, which is not enough to transit to remote workflow smoothly. Desktops are likely to stay in the company building and employees will have to acquire new laptops that can operate their daily tasks. Company will have to pay a lump sum for equipment at the start of pandemic. </x:v>
      </x:c>
      <x:c r="F22" s="8" t="str">
        <x:v>Not enough equipment for remote work</x:v>
      </x:c>
      <x:c r="G22" s="8" t="n">
        <x:v>5</x:v>
      </x:c>
      <x:c r="H22" s="8" t="n">
        <x:v>4</x:v>
      </x:c>
      <x:c r="I22" s="8" t="str">
        <x:v>20 Extreme</x:v>
      </x:c>
      <x:c r="J22" s="8" t="str">
        <x:v>Infrastructure: roughly 50 desktops and a handful of laptops cannot equip a remote workforce, and the shortfall bites immediately rather than gradually. Cross-effects on Marketplace through lost service capacity and on Reputation through delay. Dependency: technology, suppliers.</x:v>
      </x:c>
      <x:c r="K22" s="8" t="str">
        <x:v>Nathan: Risk Record - References.docx; Lester: Risk Record - Nature of Risk.docx; Urman: Risk_Record_Potential_Impact.docx</x:v>
      </x:c>
    </x:row>
    <x:row r="23" ht="57" customHeight="1">
      <x:c r="A23" s="5" t="str">
        <x:v>R-019</x:v>
      </x:c>
      <x:c r="B23" s="5" t="str">
        <x:v>I2-E-01</x:v>
      </x:c>
      <x:c r="C23" s="5" t="str">
        <x:v>Public health restrictions limit access to premises and on-site servers for maintenance</x:v>
      </x:c>
      <x:c r="D23" s="5" t="str">
        <x:v>I2-E-01</x:v>
      </x:c>
      <x:c r="E23" s="5" t="str">
        <x:v>ITrustU uses on-site servers for internal networks. Public health restrictions will limit staff access to company buildings to maintain these servers, and the 50 company desktops. Operation disruption might happen if there is a server malfunctioning. </x:v>
      </x:c>
      <x:c r="F23" s="5" t="str">
        <x:v>Restrictions limit access to premises and servers</x:v>
      </x:c>
      <x:c r="G23" s="5" t="n">
        <x:v>4</x:v>
      </x:c>
      <x:c r="H23" s="5" t="n">
        <x:v>3</x:v>
      </x:c>
      <x:c r="I23" s="5" t="str">
        <x:v>12 High</x:v>
      </x:c>
      <x:c r="J23" s="5" t="str">
        <x:v>Infrastructure: public health restrictions delay maintenance and hardware repair on on-site servers. Cross-effect on Marketplace if a failure cannot be attended promptly. Dependency: buildings, technology.</x:v>
      </x:c>
      <x:c r="K23" s="5" t="str">
        <x:v>Nathan: Risk Record - References.docx; Lester: Risk Record - Nature of Risk.docx; Urman: Risk_Record_Potential_Impact.docx</x:v>
      </x:c>
    </x:row>
    <x:row r="24" ht="87" customHeight="1">
      <x:c r="A24" s="8" t="str">
        <x:v>R-020</x:v>
      </x:c>
      <x:c r="B24" s="8" t="str">
        <x:v>I3-T-01</x:v>
      </x:c>
      <x:c r="C24" s="8" t="str">
        <x:v>Remote-access safeguards (VPNs, training) are insufficient</x:v>
      </x:c>
      <x:c r="D24" s="8" t="str">
        <x:v>I3-T-01</x:v>
      </x:c>
      <x:c r="E24" s="8" t="str">
        <x:v>To mitigate against cyber threats and maintain communication, ITrustU should put corresponding security measures in place like VPNs, multi-factor authentication, and limited visibility. This should also be included in the new staff training program. The insurance company Aflac suffered a cybersecurity attack in June 2025 that resulted 4.38 million customers and agents data stolen (Aflac Japan Breach Exposes Millions of Customer Records, 2026).</x:v>
      </x:c>
      <x:c r="F24" s="8" t="str">
        <x:v>Remote-access safeguards are insufficient</x:v>
      </x:c>
      <x:c r="G24" s="8" t="n">
        <x:v>4</x:v>
      </x:c>
      <x:c r="H24" s="8" t="n">
        <x:v>5</x:v>
      </x:c>
      <x:c r="I24" s="8" t="str">
        <x:v>20 Extreme</x:v>
      </x:c>
      <x:c r="J24" s="8" t="str">
        <x:v>Infrastructure: inadequate VPN, authentication and training expose systems and customer data. Magnitude is maximum because data exposure is explicitly where our appetite is lowest. Cross-effects on Reputation through regulatory and trust damage and on Finance through penalties and remediation. Dependency: technology, information.</x:v>
      </x:c>
      <x:c r="K24" s="8" t="str">
        <x:v>Nathan: Risk Record - References.docx; Lester: Risk Record - Nature of Risk.docx; Urman: Risk_Record_Potential_Impact.docx</x:v>
      </x:c>
    </x:row>
    <x:row r="25" ht="72" customHeight="1">
      <x:c r="A25" s="5" t="str">
        <x:v>R-021</x:v>
      </x:c>
      <x:c r="B25" s="5" t="str">
        <x:v>I3-T-02</x:v>
      </x:c>
      <x:c r="C25" s="5" t="str">
        <x:v>The internal network and external internet connection become a bottleneck</x:v>
      </x:c>
      <x:c r="D25" s="5" t="str">
        <x:v>I3-T-02</x:v>
      </x:c>
      <x:c r="E25" s="5" t="str">
        <x:v>Internal connection includes company servers, computers, and systems. External connections include company connections to remote employees, customers, and outside services. A bottleneck happens when there is a delay in data transfer between them, causing disruption in providing customer services and processing claims. This is the result of an insufficient remote work plan and could damage company reputation.</x:v>
      </x:c>
      <x:c r="F25" s="5" t="str">
        <x:v>Network and internet connection become a bottleneck</x:v>
      </x:c>
      <x:c r="G25" s="5" t="n">
        <x:v>4</x:v>
      </x:c>
      <x:c r="H25" s="5" t="n">
        <x:v>3</x:v>
      </x:c>
      <x:c r="I25" s="5" t="str">
        <x:v>12 High</x:v>
      </x:c>
      <x:c r="J25" s="5" t="str">
        <x:v>Infrastructure: the internal network and single external connection cannot carry load that has shifted to remote access. Cross-effects on Marketplace and Reputation through degraded service. Dependency: technology, suppliers.</x:v>
      </x:c>
      <x:c r="K25" s="5" t="str">
        <x:v>Nathan: Risk Record - References.docx; Lester: Risk Record - Nature of Risk.docx; Urman: Risk_Record_Potential_Impact.docx</x:v>
      </x:c>
    </x:row>
    <x:row r="26" ht="57" customHeight="1">
      <x:c r="A26" s="8" t="str">
        <x:v>R-022</x:v>
      </x:c>
      <x:c r="B26" s="8" t="str">
        <x:v>I3-T-03</x:v>
      </x:c>
      <x:c r="C26" s="8" t="str">
        <x:v>Network outages stop claims processing, premium collection, and customer support</x:v>
      </x:c>
      <x:c r="D26" s="8" t="str">
        <x:v>I3-T-03</x:v>
      </x:c>
      <x:c r="E26" s="8" t="str">
        <x:v>This is a more serious case of the previous risk, which is when services come to a complete halt instead of delay due to network outages. This is also the result of lack of network capacity and can be prevented through a backup connection. </x:v>
      </x:c>
      <x:c r="F26" s="8" t="str">
        <x:v>Network outage halts core operations</x:v>
      </x:c>
      <x:c r="G26" s="8" t="n">
        <x:v>3</x:v>
      </x:c>
      <x:c r="H26" s="8" t="n">
        <x:v>5</x:v>
      </x:c>
      <x:c r="I26" s="8" t="str">
        <x:v>15 Extreme</x:v>
      </x:c>
      <x:c r="J26" s="8" t="str">
        <x:v>Infrastructure: an outage stops claims processing, premium collection and customer support at the same time, which is all three stated objectives at once. Cross-effects are total rather than partial. IT resilience carries our highest individual risk score. Dependency: technology, suppliers.</x:v>
      </x:c>
      <x:c r="K26" s="8" t="str">
        <x:v>Nathan: Risk Record - References.docx; Lester: Risk Record - Nature of Risk.docx; Urman: Risk_Record_Potential_Impact.docx</x:v>
      </x:c>
    </x:row>
    <x:row r="27" ht="57" customHeight="1">
      <x:c r="A27" s="5" t="str">
        <x:v>R-023</x:v>
      </x:c>
      <x:c r="B27" s="5" t="str">
        <x:v>I3-P-01</x:v>
      </x:c>
      <x:c r="C27" s="5" t="str">
        <x:v>A six-person IT team cannot monitor systems at all hours</x:v>
      </x:c>
      <x:c r="D27" s="5" t="str">
        <x:v>I3-P-01</x:v>
      </x:c>
      <x:c r="E27" s="5" t="str">
        <x:v>ITrustU has an IT team of 5 people and 1 Network Manager. This is insufficient to monitor systems at all hours since we are a major insurance company that owns 70% of Ontario market. This is a result of poor staff management and will likely require further investments in training new IT employees. </x:v>
      </x:c>
      <x:c r="F27" s="5" t="str">
        <x:v>Six-person IT team cannot monitor at all hours</x:v>
      </x:c>
      <x:c r="G27" s="5" t="n">
        <x:v>4</x:v>
      </x:c>
      <x:c r="H27" s="5" t="n">
        <x:v>3</x:v>
      </x:c>
      <x:c r="I27" s="5" t="str">
        <x:v>12 High</x:v>
      </x:c>
      <x:c r="J27" s="5" t="str">
        <x:v>Infrastructure: incidents occurring outside working hours are detected late, extending both outage and exposure. Cross-effect on Reputation if a breach runs undetected. Dependency: people, technology.</x:v>
      </x:c>
      <x:c r="K27" s="5" t="str">
        <x:v>Nathan: Risk Record - References.docx; Lester: Risk Record - Nature of Risk.docx; Urman: Risk_Record_Potential_Impact.docx</x:v>
      </x:c>
    </x:row>
    <x:row r="28" ht="57" customHeight="1">
      <x:c r="A28" s="8" t="str">
        <x:v>R-024</x:v>
      </x:c>
      <x:c r="B28" s="8" t="str">
        <x:v>I3-T-04</x:v>
      </x:c>
      <x:c r="C28" s="8" t="str">
        <x:v>System capacity and recovery arrangements are not tested</x:v>
      </x:c>
      <x:c r="D28" s="8" t="str">
        <x:v>I3-T-04</x:v>
      </x:c>
      <x:c r="E28" s="8" t="str">
        <x:v>Auditing the controls in place is key in risk management. When system capacity and recovery arrangements are not tested, this gives gaps to other risks like network outages and connection bottleneck. </x:v>
      </x:c>
      <x:c r="F28" s="8" t="str">
        <x:v>Capacity and recovery arrangements are untested</x:v>
      </x:c>
      <x:c r="G28" s="8" t="n">
        <x:v>5</x:v>
      </x:c>
      <x:c r="H28" s="8" t="n">
        <x:v>2</x:v>
      </x:c>
      <x:c r="I28" s="8" t="str">
        <x:v>10 High</x:v>
      </x:c>
      <x:c r="J28" s="8" t="str">
        <x:v>Infrastructure: we do not know whether our recovery arrangements work until we need them. Impact is realised through other risks rather than on its own, but it raises the magnitude of every incident that follows. Dependency: technology.</x:v>
      </x:c>
      <x:c r="K28" s="8" t="str">
        <x:v>Nathan: Risk Record - References.docx; Lester: Risk Record - Nature of Risk.docx; Urman: Risk_Record_Potential_Impact.docx</x:v>
      </x:c>
    </x:row>
    <x:row r="29" ht="87" customHeight="1">
      <x:c r="A29" s="5" t="str">
        <x:v>R-025</x:v>
      </x:c>
      <x:c r="B29" s="5" t="str">
        <x:v>I4-P-01</x:v>
      </x:c>
      <x:c r="C29" s="5" t="str">
        <x:v>Remote work can slow service restoration after a failure.</x:v>
      </x:c>
      <x:c r="D29" s="5" t="str">
        <x:v>I4-P-01</x:v>
      </x:c>
      <x:c r="E29" s="5" t="str">
        <x:v>Remote work means limited access to company devices on premises. ITrustU has 50 desktops and on-site servers for internal connections that company operation depends on. It may take longer to get systems or services working again when employees have limited access. Recovery time is often just as important as prevention, for a major company like us, a second of service disruption could cost considerably amount of revenue. </x:v>
      </x:c>
      <x:c r="F29" s="5" t="str">
        <x:v>Remote work slows service restoration</x:v>
      </x:c>
      <x:c r="G29" s="5" t="n">
        <x:v>4</x:v>
      </x:c>
      <x:c r="H29" s="5" t="n">
        <x:v>3</x:v>
      </x:c>
      <x:c r="I29" s="5" t="str">
        <x:v>12 High</x:v>
      </x:c>
      <x:c r="J29" s="5" t="str">
        <x:v>Infrastructure: coordinating a fix across a dispersed team lengthens outages. Cross-effects on Reputation and Marketplace. Dependency: people, technology.</x:v>
      </x:c>
      <x:c r="K29" s="5" t="str">
        <x:v>Nathan: Risk Record - References.docx; Lester: Risk Record - Nature of Risk.docx; Urman: Risk_Record_Potential_Impact.docx</x:v>
      </x:c>
    </x:row>
    <x:row r="30" ht="72" customHeight="1">
      <x:c r="A30" s="8" t="str">
        <x:v>R-026</x:v>
      </x:c>
      <x:c r="B30" s="8" t="str">
        <x:v>I4-S-01</x:v>
      </x:c>
      <x:c r="C30" s="8" t="str">
        <x:v>Critical suppliers reduce or terminate a key service</x:v>
      </x:c>
      <x:c r="D30" s="8" t="str">
        <x:v>I4-S-01</x:v>
      </x:c>
      <x:c r="E30" s="8" t="str">
        <x:v>When an outside company that ITrustU depends on for service face disruptions and results in our key services’ delay or termination. These 3rd party services include ISP, security consultants, cloud server provider, shredding services, printing services, mailing services, and legal services. Most of them are critical for remote workflow. </x:v>
      </x:c>
      <x:c r="F30" s="8" t="str">
        <x:v>Critical supplier reduces or ends a key service</x:v>
      </x:c>
      <x:c r="G30" s="8" t="n">
        <x:v>3</x:v>
      </x:c>
      <x:c r="H30" s="8" t="n">
        <x:v>4</x:v>
      </x:c>
      <x:c r="I30" s="8" t="str">
        <x:v>12 High</x:v>
      </x:c>
      <x:c r="J30" s="8" t="str">
        <x:v>Infrastructure: hosting, backup, security advice, printing or mailing is withdrawn under the supplier’s own pandemic pressure. Cross-effects on Reputation, since secure destruction and policy mailing carry compliance obligations, and on Finance through replacement cost. Dependency: suppliers.</x:v>
      </x:c>
      <x:c r="K30" s="8" t="str">
        <x:v>Nathan: Risk Record - References.docx; Lester: Risk Record - Nature of Risk.docx; Urman: Risk_Record_Potential_Impact.docx</x:v>
      </x:c>
    </x:row>
    <x:row r="31" ht="57" customHeight="1">
      <x:c r="A31" s="5" t="str">
        <x:v>R-027</x:v>
      </x:c>
      <x:c r="B31" s="5" t="str">
        <x:v>I4-T-01</x:v>
      </x:c>
      <x:c r="C31" s="5" t="str">
        <x:v>No crisis management or disaster recovery procedure suits remote work</x:v>
      </x:c>
      <x:c r="D31" s="5" t="str">
        <x:v>I4-T-01</x:v>
      </x:c>
      <x:c r="E31" s="5" t="str">
        <x:v>ITrustU is still in process to develop a remote work plan and crisis leadership team. The next steps would be to develop related crisis management or disaster recovery procedures for employee gaps or 3rd party service provider issues. </x:v>
      </x:c>
      <x:c r="F31" s="5" t="str">
        <x:v>No disaster recovery procedure suits remote work</x:v>
      </x:c>
      <x:c r="G31" s="5" t="n">
        <x:v>4</x:v>
      </x:c>
      <x:c r="H31" s="5" t="n">
        <x:v>4</x:v>
      </x:c>
      <x:c r="I31" s="5" t="str">
        <x:v>16 Extreme</x:v>
      </x:c>
      <x:c r="J31" s="5" t="str">
        <x:v>Infrastructure: recovery procedures assume an office that nobody is in, so they cannot be executed as written. Cross-effects across all areas during any incident, since recovery is what limits every other impact. Dependency: people, technology, buildings.</x:v>
      </x:c>
      <x:c r="K31" s="5" t="str">
        <x:v>Nathan: Risk Record - References.docx; Lester: Risk Record - Nature of Risk.docx; Urman: Risk_Record_Potential_Impact.docx</x:v>
      </x:c>
    </x:row>
    <x:row r="32" ht="57" customHeight="1">
      <x:c r="A32" s="8" t="str">
        <x:v>R-028</x:v>
      </x:c>
      <x:c r="B32" s="8" t="str">
        <x:v>R1-P-01</x:v>
      </x:c>
      <x:c r="C32" s="8" t="str">
        <x:v>Travel claims, enquiries, and coverage disputes exceed staff capacity, and responses are late</x:v>
      </x:c>
      <x:c r="D32" s="8" t="str">
        <x:v>R1-P-01</x:v>
      </x:c>
      <x:c r="E32" s="8" t="str">
        <x:v>With just over 50 employees, we may struggle to manage this sudden increase in workload in travel cancellation claims, customer requests and disagreement with coverage especially during the initial phase of pandemic. This causes late responses that could damage company reputation. </x:v>
      </x:c>
      <x:c r="F32" s="8" t="str">
        <x:v>Claims and enquiries exceed capacity; responses late</x:v>
      </x:c>
      <x:c r="G32" s="8" t="n">
        <x:v>4</x:v>
      </x:c>
      <x:c r="H32" s="8" t="n">
        <x:v>3</x:v>
      </x:c>
      <x:c r="I32" s="8" t="str">
        <x:v>12 High</x:v>
      </x:c>
      <x:c r="J32" s="8" t="str">
        <x:v>Reputation: travel claims, enquiries and coverage disputes outrun staff capacity and responses fall outside acceptable timeframes. Cross-effects on Marketplace through customer loss and Finance through complaint handling. Breaches the response-time thresholds set in Risk Appetite. Dependency: people.</x:v>
      </x:c>
      <x:c r="K32" s="8" t="str">
        <x:v>Nathan: Risk Record - References.docx; Lester: Risk Record - Nature of Risk.docx; Urman: Risk_Record_Potential_Impact.docx</x:v>
      </x:c>
    </x:row>
    <x:row r="33" ht="72" customHeight="1">
      <x:c r="A33" s="5" t="str">
        <x:v>R-029</x:v>
      </x:c>
      <x:c r="B33" s="5" t="str">
        <x:v>R1-C-01</x:v>
      </x:c>
      <x:c r="C33" s="5" t="str">
        <x:v>Customers under financial pressure receive insensitive treatment</x:v>
      </x:c>
      <x:c r="D33" s="5" t="str">
        <x:v>R1-C-01</x:v>
      </x:c>
      <x:c r="E33" s="5" t="str">
        <x:v>Adding on top of the already overload of works, staffs may not be as considerate and understandable when communicating with customers. In some cases when customers are struggling financially, staff may overlook that sentiment and provide solutions that gives customers a sense of disregard or cold. Customers may spread words about their terrible experience with us and further damage our reputation.</x:v>
      </x:c>
      <x:c r="F33" s="5" t="str">
        <x:v>Customers under financial pressure treated insensitively</x:v>
      </x:c>
      <x:c r="G33" s="5" t="n">
        <x:v>3</x:v>
      </x:c>
      <x:c r="H33" s="5" t="n">
        <x:v>3</x:v>
      </x:c>
      <x:c r="I33" s="5" t="str">
        <x:v>9 Moderate</x:v>
      </x:c>
      <x:c r="J33" s="5" t="str">
        <x:v>Reputation: customers in difficulty receive treatment that damages trust at the moment it matters most. Cross-effect on Marketplace through retention. Dependency: people.</x:v>
      </x:c>
      <x:c r="K33" s="5" t="str">
        <x:v>Nathan: Risk Record - References.docx; Lester: Risk Record - Nature of Risk.docx; Urman: Risk_Record_Potential_Impact.docx</x:v>
      </x:c>
    </x:row>
    <x:row r="34" ht="57" customHeight="1">
      <x:c r="A34" s="8" t="str">
        <x:v>R-030</x:v>
      </x:c>
      <x:c r="B34" s="8" t="str">
        <x:v>R2-C-01</x:v>
      </x:c>
      <x:c r="C34" s="8" t="str">
        <x:v>Misinformation or unclear statements confuse customers about coverage</x:v>
      </x:c>
      <x:c r="D34" s="8" t="str">
        <x:v>R2-C-01</x:v>
      </x:c>
      <x:c r="E34" s="8" t="str">
        <x:v>Misinformation surrounding the pandemic may create confusion about insurance coverage and our response to changing conditions. Unclear or misleading statements could undermine trust and prevent customers from making informed decisions.</x:v>
      </x:c>
      <x:c r="F34" s="8" t="str">
        <x:v>Unclear statements confuse customers about coverage</x:v>
      </x:c>
      <x:c r="G34" s="8" t="n">
        <x:v>3</x:v>
      </x:c>
      <x:c r="H34" s="8" t="n">
        <x:v>4</x:v>
      </x:c>
      <x:c r="I34" s="8" t="str">
        <x:v>12 High</x:v>
      </x:c>
      <x:c r="J34" s="8" t="str">
        <x:v>Reputation: inconsistent or unclear communication leaves customers mistaken about what they are covered for. Cross-effects on Finance through disputes and on Reputation again through regulatory attention. Dependency: information.</x:v>
      </x:c>
      <x:c r="K34" s="8" t="str">
        <x:v>Nathan: Risk Record - References.docx; Lester: Risk Record - Nature of Risk.docx; Urman: Risk_Record_Potential_Impact.docx</x:v>
      </x:c>
    </x:row>
    <x:row r="35" ht="87" customHeight="1">
      <x:c r="A35" s="5" t="str">
        <x:v>R-031</x:v>
      </x:c>
      <x:c r="B35" s="5" t="str">
        <x:v>R2-P-01</x:v>
      </x:c>
      <x:c r="C35" s="5" t="str">
        <x:v>A sudden change to remote work causes employee stress and isolation, and support is insufficient</x:v>
      </x:c>
      <x:c r="D35" s="5" t="str">
        <x:v>R2-P-01</x:v>
      </x:c>
      <x:c r="E35" s="5" t="str">
        <x:v>The sudden change of work style from in office to home can cause  emotional stress for employee in long term, as human are social animal and the isolation can create anxiety. To ensure employee performance, company should develop employee mental health support programs. “KPMG recently sent an e-mail to its staff highlighting the various internal resources available and encouraging them to build mental health resilience. (Bouw, 2020)”</x:v>
      </x:c>
      <x:c r="F35" s="5" t="str">
        <x:v>Remote work causes employee stress; support insufficient</x:v>
      </x:c>
      <x:c r="G35" s="5" t="n">
        <x:v>4</x:v>
      </x:c>
      <x:c r="H35" s="5" t="n">
        <x:v>3</x:v>
      </x:c>
      <x:c r="I35" s="5" t="str">
        <x:v>12 High</x:v>
      </x:c>
      <x:c r="J35" s="5" t="str">
        <x:v>Reputation: a sudden shift to remote work isolates staff without adequate support. Cross-effects on Infrastructure through availability and on Marketplace through service quality. Conflicts with the stated objective of protecting employees. Dependency: people.</x:v>
      </x:c>
      <x:c r="K35" s="5" t="str">
        <x:v>Nathan: Risk Record - References.docx; Lester: Risk Record - Nature of Risk.docx; Urman: Risk_Record_Potential_Impact.docx</x:v>
      </x:c>
    </x:row>
    <x:row r="36" ht="57" customHeight="1">
      <x:c r="A36" s="8" t="str">
        <x:v>R-032</x:v>
      </x:c>
      <x:c r="B36" s="8" t="str">
        <x:v>R3-P-01</x:v>
      </x:c>
      <x:c r="C36" s="8" t="str">
        <x:v>Increased workload causes processing errors and incomplete records</x:v>
      </x:c>
      <x:c r="D36" s="8" t="str">
        <x:v>R3-P-01</x:v>
      </x:c>
      <x:c r="E36" s="8" t="str">
        <x:v>The increased workload will be stressful for ITrustU employees. Therefore, we can expect some human errors during processing and overlooked details. This is also due to the small size of the company with only 50+ staffs.</x:v>
      </x:c>
      <x:c r="F36" s="8" t="str">
        <x:v>Workload causes processing errors and incomplete records</x:v>
      </x:c>
      <x:c r="G36" s="8" t="n">
        <x:v>4</x:v>
      </x:c>
      <x:c r="H36" s="8" t="n">
        <x:v>3</x:v>
      </x:c>
      <x:c r="I36" s="8" t="str">
        <x:v>12 High</x:v>
      </x:c>
      <x:c r="J36" s="8" t="str">
        <x:v>Reputation: increased volume produces errors and gaps in records. Cross-effects on Finance through rework and on compliance, since record-keeping is a regulatory obligation rather than an internal preference. Dependency: people, information.</x:v>
      </x:c>
      <x:c r="K36" s="8" t="str">
        <x:v>Nathan: Risk Record - References.docx; Lester: Risk Record - Nature of Risk.docx; Urman: Risk_Record_Potential_Impact.docx</x:v>
      </x:c>
    </x:row>
    <x:row r="37" ht="57" customHeight="1">
      <x:c r="A37" s="5" t="str">
        <x:v>R-033</x:v>
      </x:c>
      <x:c r="B37" s="5" t="str">
        <x:v>R3-T-01</x:v>
      </x:c>
      <x:c r="C37" s="5" t="str">
        <x:v>Remote work exposes customer data to unauthorized access</x:v>
      </x:c>
      <x:c r="D37" s="5" t="str">
        <x:v>R3-T-01</x:v>
      </x:c>
      <x:c r="E37" s="5" t="str">
        <x:v>Remote work requires constant data transfer between internal and external internet connection. Without proper safeguard and staff training in place, customer data might be leaked, causing company reputation damage. </x:v>
      </x:c>
      <x:c r="F37" s="5" t="str">
        <x:v>Remote work exposes customer data</x:v>
      </x:c>
      <x:c r="G37" s="5" t="n">
        <x:v>3</x:v>
      </x:c>
      <x:c r="H37" s="5" t="n">
        <x:v>5</x:v>
      </x:c>
      <x:c r="I37" s="5" t="str">
        <x:v>15 Extreme</x:v>
      </x:c>
      <x:c r="J37" s="5" t="str">
        <x:v>Reputation: unauthorised access to customer information. Maximum magnitude, because this is explicitly where our appetite is lowest and the consequences land on regulation, finances and trust simultaneously. Dependency: technology, information.</x:v>
      </x:c>
      <x:c r="K37" s="5" t="str">
        <x:v>Nathan: Risk Record - References.docx; Lester: Risk Record - Nature of Risk.docx; Urman: Risk_Record_Potential_Impact.docx</x:v>
      </x:c>
    </x:row>
    <x:row r="38" ht="57" customHeight="1">
      <x:c r="A38" s="8" t="str">
        <x:v>R-034</x:v>
      </x:c>
      <x:c r="B38" s="8" t="str">
        <x:v>R3-C-01</x:v>
      </x:c>
      <x:c r="C38" s="8" t="str">
        <x:v>FSRA, FINTRAC, OSFI requirements are not fully identified</x:v>
      </x:c>
      <x:c r="D38" s="8" t="str">
        <x:v>R3-C-01</x:v>
      </x:c>
      <x:c r="E38" s="8" t="str">
        <x:v>ITrustU may not have identified all the regulatory requirements from FRSA, FINTRAC, OSFI that apply to its business. This could lead to legal troubles and damage company reputation, fine, and operation may be suspended.</x:v>
      </x:c>
      <x:c r="F38" s="8" t="str">
        <x:v>FSRA, FINTRAC and OSFI requirements not fully identified</x:v>
      </x:c>
      <x:c r="G38" s="8" t="n">
        <x:v>2</x:v>
      </x:c>
      <x:c r="H38" s="8" t="n">
        <x:v>4</x:v>
      </x:c>
      <x:c r="I38" s="8" t="str">
        <x:v>8 Moderate</x:v>
      </x:c>
      <x:c r="J38" s="8" t="str">
        <x:v>Reputation: obligations are missed because they were never catalogued, and the gap surfaces at examination rather than before. Cross-effect on Finance through penalties. Dependency: information, people.</x:v>
      </x:c>
      <x:c r="K38" s="8" t="str">
        <x:v>Nathan: Risk Record - References.docx; Lester: Risk Record - Nature of Risk.docx; Urman: Risk_Record_Potential_Impact.docx</x:v>
      </x:c>
    </x:row>
    <x:row r="39" ht="57" customHeight="1">
      <x:c r="A39" s="5" t="str">
        <x:v>R-035</x:v>
      </x:c>
      <x:c r="B39" s="5" t="str">
        <x:v>R4-P-01</x:v>
      </x:c>
      <x:c r="C39" s="5" t="str">
        <x:v>Staff shortages delay customer-facing operations</x:v>
      </x:c>
      <x:c r="D39" s="5" t="str">
        <x:v>R4-P-01</x:v>
      </x:c>
      <x:c r="E39" s="5" t="str">
        <x:v>Limited number of available staffs for customer services may delay our response, putting customer calls on a longer wait time, damaging reputation and service quality.</x:v>
      </x:c>
      <x:c r="F39" s="5" t="str">
        <x:v>Staff shortages delay customer-facing operations</x:v>
      </x:c>
      <x:c r="G39" s="5" t="n">
        <x:v>4</x:v>
      </x:c>
      <x:c r="H39" s="5" t="n">
        <x:v>3</x:v>
      </x:c>
      <x:c r="I39" s="5" t="str">
        <x:v>12 High</x:v>
      </x:c>
      <x:c r="J39" s="5" t="str">
        <x:v>Reputation: visible service delay in the operations customers actually experience. Cross-effects on Marketplace and Finance. Dependency: people.</x:v>
      </x:c>
      <x:c r="K39" s="5" t="str">
        <x:v>Nathan: Risk Record - References.docx; Lester: Risk Record - Nature of Risk.docx; Urman: Risk_Record_Potential_Impact.docx</x:v>
      </x:c>
    </x:row>
    <x:row r="40" ht="57" customHeight="1">
      <x:c r="A40" s="8" t="str">
        <x:v>R-036</x:v>
      </x:c>
      <x:c r="B40" s="8" t="str">
        <x:v>R4-C-01</x:v>
      </x:c>
      <x:c r="C40" s="8" t="str">
        <x:v>Service timelines and coverage limits are not clearly communicated</x:v>
      </x:c>
      <x:c r="D40" s="8" t="str">
        <x:v>R4-C-01</x:v>
      </x:c>
      <x:c r="E40" s="8" t="str">
        <x:v>Due to staff shortage and poor management of online misinformation and communication to customers, there might be confusion around our service timelines and coverage limits, causing unnecessary arguments that damage our reputation.</x:v>
      </x:c>
      <x:c r="F40" s="8" t="str">
        <x:v>Service timelines and coverage limits unclear</x:v>
      </x:c>
      <x:c r="G40" s="8" t="n">
        <x:v>3</x:v>
      </x:c>
      <x:c r="H40" s="8" t="n">
        <x:v>3</x:v>
      </x:c>
      <x:c r="I40" s="8" t="str">
        <x:v>9 Moderate</x:v>
      </x:c>
      <x:c r="J40" s="8" t="str">
        <x:v>Reputation: avoidable complaints arise from expectations we never set clearly. Cross-effect on Marketplace. Dependency: information.</x:v>
      </x:c>
      <x:c r="K40" s="8" t="str">
        <x:v>Nathan: Risk Record - References.docx; Lester: Risk Record - Nature of Risk.docx; Urman: Risk_Record_Potential_Impact.docx</x:v>
      </x:c>
    </x:row>
    <x:row r="41" ht="57" customHeight="1">
      <x:c r="A41" s="5" t="str">
        <x:v>R-037</x:v>
      </x:c>
      <x:c r="B41" s="5" t="str">
        <x:v>M1-E-01</x:v>
      </x:c>
      <x:c r="C41" s="5" t="str">
        <x:v>Individual customers reduce, defer, or cancel coverage</x:v>
      </x:c>
      <x:c r="D41" s="5" t="str">
        <x:v>M1-E-01</x:v>
      </x:c>
      <x:c r="E41" s="5" t="str">
        <x:v>Pandemic will likely place financial pressures on individual customers. Customers may look for a cheaper premium option or terminate purchasing premium altogether. Travel restriction and social distancing will reduce customer demand on travel and car insurance. </x:v>
      </x:c>
      <x:c r="F41" s="5" t="str">
        <x:v>Individual customers reduce, defer or cancel coverage</x:v>
      </x:c>
      <x:c r="G41" s="5" t="n">
        <x:v>4</x:v>
      </x:c>
      <x:c r="H41" s="5" t="n">
        <x:v>3</x:v>
      </x:c>
      <x:c r="I41" s="5" t="str">
        <x:v>12 High</x:v>
      </x:c>
      <x:c r="J41" s="5" t="str">
        <x:v>Marketplace: household income pressure drives lapse, deferral and downgrading across personal lines. Cross-effects on Finance through premium income and on Reputation if cancellation handling is poor. Dependency: information, including early warning from brokers.</x:v>
      </x:c>
      <x:c r="K41" s="5" t="str">
        <x:v>Nathan: Risk Record - References.docx; Lester: Risk Record - Nature of Risk.docx; Urman: Risk_Record_Potential_Impact.docx</x:v>
      </x:c>
    </x:row>
    <x:row r="42" ht="72" customHeight="1">
      <x:c r="A42" s="8" t="str">
        <x:v>R-038</x:v>
      </x:c>
      <x:c r="B42" s="8" t="str">
        <x:v>M1-E-02</x:v>
      </x:c>
      <x:c r="C42" s="8" t="str">
        <x:v>Small business clients reduce, defer, or cancel coverage</x:v>
      </x:c>
      <x:c r="D42" s="8" t="str">
        <x:v>M1-E-02</x:v>
      </x:c>
      <x:c r="E42" s="8" t="str">
        <x:v>Similar to the previous risk, small business clients may also face financial difficulties, even temporary closure, and won’t be able to keep purchasing premiums. This could lead to premium deferrals, coverage reductions or cancellation. ITrustU may be forced to offer premium reductions to help customers cope with these difficulties, keeping the customer base at a loss of revenue. </x:v>
      </x:c>
      <x:c r="F42" s="8" t="str">
        <x:v>Small business clients reduce, defer or cancel coverage</x:v>
      </x:c>
      <x:c r="G42" s="8" t="n">
        <x:v>3</x:v>
      </x:c>
      <x:c r="H42" s="8" t="n">
        <x:v>3</x:v>
      </x:c>
      <x:c r="I42" s="8" t="str">
        <x:v>9 Moderate</x:v>
      </x:c>
      <x:c r="J42" s="8" t="str">
        <x:v>Marketplace: business closures and revenue loss reduce commercial exposure and premium. Cross-effect on Finance. Note: scope depends on whether we write commercial lines, which the team should confirm. Dependency: information.</x:v>
      </x:c>
      <x:c r="K42" s="8" t="str">
        <x:v>Nathan: Risk Record - References.docx; Lester: Risk Record - Nature of Risk.docx; Urman: Risk_Record_Potential_Impact.docx</x:v>
      </x:c>
    </x:row>
    <x:row r="43" ht="72" customHeight="1">
      <x:c r="A43" s="5" t="str">
        <x:v>R-039</x:v>
      </x:c>
      <x:c r="B43" s="5" t="str">
        <x:v>M1-E-03</x:v>
      </x:c>
      <x:c r="C43" s="5" t="str">
        <x:v>Travel insurance demand falls sharply; drivers request lower auto premiums</x:v>
      </x:c>
      <x:c r="D43" s="5" t="str">
        <x:v>M1-E-03</x:v>
      </x:c>
      <x:c r="E43" s="5" t="str">
        <x:v>As a result of travel aboard limitations in place of pandemic, travel insurance demand will likely drop. People are less likely to go outside due to isolation policies, therefore there are less cars on road and less traffic accidents. Two auto insurance giants (Allsate and American Family Insurance) returned a total of $800 million in premiums to customers in 2020 (Thorbecke, 2020).</x:v>
      </x:c>
      <x:c r="F43" s="5" t="str">
        <x:v>Travel demand collapses; drivers seek lower auto premiums</x:v>
      </x:c>
      <x:c r="G43" s="5" t="n">
        <x:v>5</x:v>
      </x:c>
      <x:c r="H43" s="5" t="n">
        <x:v>4</x:v>
      </x:c>
      <x:c r="I43" s="5" t="str">
        <x:v>20 Extreme</x:v>
      </x:c>
      <x:c r="J43" s="5" t="str">
        <x:v>Marketplace: travel insurance sales stop while drivers who have ceased commuting press for rebates. Near-certain and already underway. Cross-effects on Finance through revenue and on Reputation if rebate expectations are not met. Dependency: information.</x:v>
      </x:c>
      <x:c r="K43" s="5" t="str">
        <x:v>Nathan: Risk Record - References.docx; Lester: Risk Record - Nature of Risk.docx; Urman: Risk_Record_Potential_Impact.docx</x:v>
      </x:c>
    </x:row>
    <x:row r="44" ht="57" customHeight="1">
      <x:c r="A44" s="8" t="str">
        <x:v>R-040</x:v>
      </x:c>
      <x:c r="B44" s="8" t="str">
        <x:v>M2-E-01</x:v>
      </x:c>
      <x:c r="C44" s="8" t="str">
        <x:v>Competitors attract customers with cheaper rates</x:v>
      </x:c>
      <x:c r="D44" s="8" t="str">
        <x:v>M2-E-01</x:v>
      </x:c>
      <x:c r="E44" s="8" t="str">
        <x:v>Other insurance companies may reduce their premium price to steal our customer base. As customer demand changes during pandemic, companies will take advantage of it and develop new premium plans that seem more cost-effective and appealing to customers. </x:v>
      </x:c>
      <x:c r="F44" s="8" t="str">
        <x:v>Competitors attract customers with cheaper rates</x:v>
      </x:c>
      <x:c r="G44" s="8" t="n">
        <x:v>3</x:v>
      </x:c>
      <x:c r="H44" s="8" t="n">
        <x:v>3</x:v>
      </x:c>
      <x:c r="I44" s="8" t="str">
        <x:v>9 Moderate</x:v>
      </x:c>
      <x:c r="J44" s="8" t="str">
        <x:v>Marketplace: price-sensitive customers move in a market where switching costs are low. Cross-effect on Finance. Dependency: information.</x:v>
      </x:c>
      <x:c r="K44" s="8" t="str">
        <x:v>Nathan: Risk Record - References.docx; Lester: Risk Record - Nature of Risk.docx; Urman: Risk_Record_Potential_Impact.docx</x:v>
      </x:c>
    </x:row>
    <x:row r="45" ht="57" customHeight="1">
      <x:c r="A45" s="5" t="str">
        <x:v>R-041</x:v>
      </x:c>
      <x:c r="B45" s="5" t="str">
        <x:v>M3-E-01</x:v>
      </x:c>
      <x:c r="C45" s="5" t="str">
        <x:v>Market volatility and low interest rates reduce asset values and investment income</x:v>
      </x:c>
      <x:c r="D45" s="5" t="str">
        <x:v>M3-E-01</x:v>
      </x:c>
      <x:c r="E45" s="5" t="str">
        <x:v>ITrustU invests in Canadian socks and bonds, real estate holdings and precious metals. Market volatility and low interest rates may reduce these asset values, resulting in a lower income gain from investment. </x:v>
      </x:c>
      <x:c r="F45" s="5" t="str">
        <x:v>Volatility and low rates cut asset values and income</x:v>
      </x:c>
      <x:c r="G45" s="5" t="n">
        <x:v>5</x:v>
      </x:c>
      <x:c r="H45" s="5" t="n">
        <x:v>4</x:v>
      </x:c>
      <x:c r="I45" s="5" t="str">
        <x:v>20 Extreme</x:v>
      </x:c>
      <x:c r="J45" s="5" t="str">
        <x:v>Marketplace: asset values and investment income fall at the same time, which is near-certain in current conditions. Cross-effects run through Finance across reserves, liquidity and the ability to fund operations. Dependency: information.</x:v>
      </x:c>
      <x:c r="K45" s="5" t="str">
        <x:v>Nathan: Risk Record - References.docx; Lester: Risk Record - Nature of Risk.docx; Urman: Risk_Record_Potential_Impact.docx</x:v>
      </x:c>
    </x:row>
    <x:row r="46" ht="57" customHeight="1">
      <x:c r="A46" s="8" t="str">
        <x:v>R-042</x:v>
      </x:c>
      <x:c r="B46" s="8" t="str">
        <x:v>M3-E-02</x:v>
      </x:c>
      <x:c r="C46" s="8" t="str">
        <x:v>Global economic pressures weaken Tiva</x:v>
      </x:c>
      <x:c r="D46" s="8" t="str">
        <x:v>M3-E-02</x:v>
      </x:c>
      <x:c r="E46" s="8" t="str">
        <x:v>Tiva may suffer different economic pressures across the globe; it will be challenging for Tiva to manage and likely to be weakened. This could potentially affect how much support we can expect from Tiva, although it’s still unclear if Tiva will be reliable. </x:v>
      </x:c>
      <x:c r="F46" s="8" t="str">
        <x:v>Global economic pressure weakens Tiva</x:v>
      </x:c>
      <x:c r="G46" s="8" t="n">
        <x:v>3</x:v>
      </x:c>
      <x:c r="H46" s="8" t="n">
        <x:v>4</x:v>
      </x:c>
      <x:c r="I46" s="8" t="str">
        <x:v>12 High</x:v>
      </x:c>
      <x:c r="J46" s="8" t="str">
        <x:v>Marketplace: our parent group is weakened by the same conditions affecting us, reducing the support assumed throughout the plan. Cross-effects in all areas, since Tiva underpins funds, expertise and assurance. Dependency: suppliers and third parties.</x:v>
      </x:c>
      <x:c r="K46" s="8" t="str">
        <x:v>Nathan: Risk Record - References.docx; Lester: Risk Record - Nature of Risk.docx; Urman: Risk_Record_Potential_Impact.docx</x:v>
      </x:c>
    </x:row>
    <x:row r="47" ht="57" customHeight="1">
      <x:c r="A47" s="5" t="str">
        <x:v>R-043</x:v>
      </x:c>
      <x:c r="B47" s="5" t="str">
        <x:v>M3-E-03</x:v>
      </x:c>
      <x:c r="C47" s="5" t="str">
        <x:v>Government support does not reach customers adequately</x:v>
      </x:c>
      <x:c r="D47" s="5" t="str">
        <x:v>M3-E-03</x:v>
      </x:c>
      <x:c r="E47" s="5" t="str">
        <x:v>Government will face a surge in businesses applying for assistance, overwhelm processing staff therefore delaying its support to us. Technical issues and new program rules may also contribute to this risk. </x:v>
      </x:c>
      <x:c r="F47" s="5" t="str">
        <x:v>Government support does not reach customers adequately</x:v>
      </x:c>
      <x:c r="G47" s="5" t="n">
        <x:v>3</x:v>
      </x:c>
      <x:c r="H47" s="5" t="n">
        <x:v>3</x:v>
      </x:c>
      <x:c r="I47" s="5" t="str">
        <x:v>9 Moderate</x:v>
      </x:c>
      <x:c r="J47" s="5" t="str">
        <x:v>Marketplace: affordability pressure persists longer than forecast because relief does not land where expected. Cross-effect on Finance through lapse and arrears. Dependency: external conditions.</x:v>
      </x:c>
      <x:c r="K47" s="5" t="str">
        <x:v>Nathan: Risk Record - References.docx; Lester: Risk Record - Nature of Risk.docx; Urman: Risk_Record_Potential_Impact.docx</x:v>
      </x:c>
    </x:row>
    <x:row r="48" ht="57" customHeight="1">
      <x:c r="A48" s="8" t="str">
        <x:v>R-044</x:v>
      </x:c>
      <x:c r="B48" s="8" t="str">
        <x:v>M4-S-01</x:v>
      </x:c>
      <x:c r="C48" s="8" t="str">
        <x:v>Shortage or repair services, parts, and materials delay claim settlements</x:v>
      </x:c>
      <x:c r="D48" s="8" t="str">
        <x:v>M4-S-01</x:v>
      </x:c>
      <x:c r="E48" s="8" t="str">
        <x:v>Some of our products like home\condo\renter insurance, motorcycle\RVs insurance, and car insurance depend on external service providers and the availability of materials and labor needed to settle claims. Pandemic disruption may therefore affect both our operating capacity and claims costs.</x:v>
      </x:c>
      <x:c r="F48" s="8" t="str">
        <x:v>Shortage of repair services, parts and materials</x:v>
      </x:c>
      <x:c r="G48" s="8" t="n">
        <x:v>4</x:v>
      </x:c>
      <x:c r="H48" s="8" t="n">
        <x:v>3</x:v>
      </x:c>
      <x:c r="I48" s="8" t="str">
        <x:v>12 High</x:v>
      </x:c>
      <x:c r="J48" s="8" t="str">
        <x:v>Marketplace: settlement is delayed and claim severity rises on policies already priced and bound, which cannot be repriced mid-term. Cross-effects on Finance through severity and Reputation through delay. Dependency: suppliers.</x:v>
      </x:c>
      <x:c r="K48" s="8" t="str">
        <x:v>Nathan: Risk Record - References.docx; Lester: Risk Record - Nature of Risk.docx; Urman: Risk_Record_Potential_Impact.docx</x:v>
      </x:c>
    </x:row>
    <x:row r="49" ht="57" customHeight="1">
      <x:c r="A49" s="5" t="str">
        <x:v>R-045</x:v>
      </x:c>
      <x:c r="B49" s="5" t="str">
        <x:v>M5-T-01</x:v>
      </x:c>
      <x:c r="C49" s="5" t="str">
        <x:v>Cannot keep up with surge in online demand</x:v>
      </x:c>
      <x:c r="D49" s="5" t="str">
        <x:v>M5</x:v>
      </x:c>
      <x:c r="E49" s="5" t="str">
        <x:v>Our ability to keep up with the surge in online demand depends on 3rd party service providers, our remote work plan, staff management, and maintenance of company servers. </x:v>
      </x:c>
      <x:c r="F49" s="5" t="str">
        <x:v>Cannot keep up with surge in online demand</x:v>
      </x:c>
      <x:c r="G49" s="5" t="n">
        <x:v>4</x:v>
      </x:c>
      <x:c r="H49" s="5" t="n">
        <x:v>3</x:v>
      </x:c>
      <x:c r="I49" s="5" t="str">
        <x:v>12 High</x:v>
      </x:c>
      <x:c r="J49" s="5" t="str">
        <x:v>Marketplace: demand shifts online faster than our systems and staff can absorb. Cross-effects on Infrastructure through capacity and Reputation through visible service failure. Dependency: technology, people.</x:v>
      </x:c>
      <x:c r="K49" s="5" t="str">
        <x:v>Nathan: Risk Record - References.docx; Lester: Risk Record - Nature of Risk.docx; Urman: Risk_Record_Potential_Impact.docx</x:v>
      </x:c>
    </x:row>
  </x:sheetData>
  <x:pageMargins left="0.7" right="0.7" top="0.75" bottom="0.75" header="0.3" footer="0.3"/>
  <x:tableParts count="1">
    <x:tablePart xmlns:r="http://schemas.openxmlformats.org/officeDocument/2006/relationships" r:id="R451268df516146c8"/>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45" hidden="0" customWidth="1"/>
    <x:col min="3" max="3" width="15" hidden="0" customWidth="1"/>
    <x:col min="4" max="4" width="65" hidden="0" customWidth="1"/>
    <x:col min="5" max="5" width="20" hidden="0" customWidth="1"/>
    <x:col min="6" max="6" width="100" hidden="0" customWidth="1"/>
  </x:cols>
  <x:sheetData>
    <x:row r="1">
      <x:c r="A1" s="1"/>
      <x:c r="B1" s="1"/>
      <x:c r="C1" s="1"/>
      <x:c r="D1" s="1"/>
      <x:c r="E1" s="1"/>
      <x:c r="F1" s="1"/>
      <x:c r="G1" s="1"/>
      <x:c r="H1" s="1"/>
    </x:row>
    <x:row r="2">
      <x:c r="A2" s="2" t="str">
        <x:v>Source Controls</x:v>
      </x:c>
      <x:c r="B2" s="1"/>
      <x:c r="C2" s="1"/>
      <x:c r="D2" s="1"/>
      <x:c r="E2" s="1"/>
      <x:c r="F2" s="1"/>
      <x:c r="G2" s="1"/>
      <x:c r="H2" s="1"/>
    </x:row>
    <x:row r="3" ht="24" customHeight="1">
      <x:c r="A3" s="1" t="str">
        <x:v>Source: Existing Controls.docx, assessment table. Original category-level claims are preserved without treating absence or effectiveness as verified.</x:v>
      </x:c>
      <x:c r="B3" s="1"/>
      <x:c r="C3" s="1"/>
      <x:c r="D3" s="1"/>
      <x:c r="E3" s="1"/>
      <x:c r="F3" s="1"/>
      <x:c r="G3" s="1"/>
      <x:c r="H3" s="1"/>
    </x:row>
    <x:row r="5" ht="42" customHeight="1">
      <x:c r="A5" s="7" t="str">
        <x:v>Index item</x:v>
      </x:c>
      <x:c r="B5" s="7" t="str">
        <x:v>Riskiness item</x:v>
      </x:c>
      <x:c r="C5" s="7" t="str">
        <x:v>Original index score</x:v>
      </x:c>
      <x:c r="D5" s="7" t="str">
        <x:v>Sam existing control</x:v>
      </x:c>
      <x:c r="E5" s="7" t="str">
        <x:v>Sam coverage</x:v>
      </x:c>
      <x:c r="F5" s="7" t="str">
        <x:v>Sam stated gap</x:v>
      </x:c>
    </x:row>
    <x:row r="6" ht="42" customHeight="1">
      <x:c r="A6" s="8" t="str">
        <x:v>1.1</x:v>
      </x:c>
      <x:c r="B6" s="8" t="str">
        <x:v>Availability of investment funds</x:v>
      </x:c>
      <x:c r="C6" s="8" t="str">
        <x:v>2</x:v>
      </x:c>
      <x:c r="D6" s="8" t="str">
        <x:v>Financial modeling</x:v>
      </x:c>
      <x:c r="E6" s="8" t="str">
        <x:v>Partial</x:v>
      </x:c>
      <x:c r="F6" s="8" t="str">
        <x:v>Funds are available through premiums, but the scope and timing of Tiva support are not confirmed</x:v>
      </x:c>
    </x:row>
    <x:row r="7" ht="36" customHeight="1">
      <x:c r="A7" s="5" t="str">
        <x:v>1.2</x:v>
      </x:c>
      <x:c r="B7" s="5" t="str">
        <x:v>Allocation of funds</x:v>
      </x:c>
      <x:c r="C7" s="5" t="str">
        <x:v>3</x:v>
      </x:c>
      <x:c r="D7" s="5" t="str">
        <x:v>Financial modeling</x:v>
      </x:c>
      <x:c r="E7" s="5" t="str">
        <x:v>Partial</x:v>
      </x:c>
      <x:c r="F7" s="5" t="str">
        <x:v>No dedicated risk budget, no cyber-security staff</x:v>
      </x:c>
    </x:row>
    <x:row r="8" ht="36" customHeight="1">
      <x:c r="A8" s="8" t="str">
        <x:v>1.3</x:v>
      </x:c>
      <x:c r="B8" s="8" t="str">
        <x:v>Internal financial controls</x:v>
      </x:c>
      <x:c r="C8" s="8" t="str">
        <x:v>4</x:v>
      </x:c>
      <x:c r="D8" s="8" t="str">
        <x:v>Operational audit trail</x:v>
      </x:c>
      <x:c r="E8" s="8" t="str">
        <x:v>Partial</x:v>
      </x:c>
      <x:c r="F8" s="8" t="str">
        <x:v>Detective only. No payout approvals, segregation of duties, or fraud detection</x:v>
      </x:c>
    </x:row>
    <x:row r="9" ht="36" customHeight="1">
      <x:c r="A9" s="5" t="str">
        <x:v>1.4</x:v>
      </x:c>
      <x:c r="B9" s="5" t="str">
        <x:v>Reserves and liabilities</x:v>
      </x:c>
      <x:c r="C9" s="5" t="str">
        <x:v>4</x:v>
      </x:c>
      <x:c r="D9" s="5" t="str">
        <x:v>Financial modeling</x:v>
      </x:c>
      <x:c r="E9" s="5" t="str">
        <x:v>Partial</x:v>
      </x:c>
      <x:c r="F9" s="5" t="str">
        <x:v>No reserve adequacy testing, stress tests, or minimum cash thresholds</x:v>
      </x:c>
    </x:row>
    <x:row r="10" ht="36" customHeight="1">
      <x:c r="A10" s="8" t="str">
        <x:v>2.1</x:v>
      </x:c>
      <x:c r="B10" s="8" t="str">
        <x:v>People skills</x:v>
      </x:c>
      <x:c r="C10" s="8" t="str">
        <x:v>4</x:v>
      </x:c>
      <x:c r="D10" s="8" t="str">
        <x:v>No existing control</x:v>
      </x:c>
      <x:c r="E10" s="8" t="str">
        <x:v>Not covered</x:v>
      </x:c>
      <x:c r="F10" s="8" t="str">
        <x:v>No remote-work procedures, no trained backups for IT, claims, and support roles</x:v>
      </x:c>
    </x:row>
    <x:row r="11" ht="36" customHeight="1">
      <x:c r="A11" s="5" t="str">
        <x:v>2.2</x:v>
      </x:c>
      <x:c r="B11" s="5" t="str">
        <x:v>Premises and equipment</x:v>
      </x:c>
      <x:c r="C11" s="5" t="str">
        <x:v>1</x:v>
      </x:c>
      <x:c r="D11" s="5" t="str">
        <x:v>On-site company equipment</x:v>
      </x:c>
      <x:c r="E11" s="5" t="str">
        <x:v>Partial</x:v>
      </x:c>
      <x:c r="F11" s="5" t="str">
        <x:v>Equipment is office-based, with few laptops and limited remote capacity</x:v>
      </x:c>
    </x:row>
    <x:row r="12" ht="36" customHeight="1">
      <x:c r="A12" s="8" t="str">
        <x:v>2.3</x:v>
      </x:c>
      <x:c r="B12" s="8" t="str">
        <x:v>IT resilience</x:v>
      </x:c>
      <x:c r="C12" s="8" t="str">
        <x:v>5</x:v>
      </x:c>
      <x:c r="D12" s="8" t="str">
        <x:v>Firewalls, email threat scanning, minimum-privilege access</x:v>
      </x:c>
      <x:c r="E12" s="8" t="str">
        <x:v>Partial</x:v>
      </x:c>
      <x:c r="F12" s="8" t="str">
        <x:v>No VPN, MFA, DLP, 24/7 monitoring, or tested backup and recovery</x:v>
      </x:c>
    </x:row>
    <x:row r="13" ht="36" customHeight="1">
      <x:c r="A13" s="5" t="str">
        <x:v>2.4</x:v>
      </x:c>
      <x:c r="B13" s="5" t="str">
        <x:v>Product availability and suppliers</x:v>
      </x:c>
      <x:c r="C13" s="5" t="str">
        <x:v>3</x:v>
      </x:c>
      <x:c r="D13" s="5" t="str">
        <x:v>No existing control</x:v>
      </x:c>
      <x:c r="E13" s="5" t="str">
        <x:v>Not covered</x:v>
      </x:c>
      <x:c r="F13" s="5" t="str">
        <x:v>No supplier continuity plans or alternate vendors</x:v>
      </x:c>
    </x:row>
    <x:row r="14" ht="36" customHeight="1">
      <x:c r="A14" s="8" t="str">
        <x:v>3.1</x:v>
      </x:c>
      <x:c r="B14" s="8" t="str">
        <x:v>Public perception and brand</x:v>
      </x:c>
      <x:c r="C14" s="8" t="str">
        <x:v>4</x:v>
      </x:c>
      <x:c r="D14" s="8" t="str">
        <x:v>Social media crisis plan and templates, legal support</x:v>
      </x:c>
      <x:c r="E14" s="8" t="str">
        <x:v>Partial</x:v>
      </x:c>
      <x:c r="F14" s="8" t="str">
        <x:v>No sentiment monitoring or compliance review of public statements</x:v>
      </x:c>
    </x:row>
    <x:row r="15" ht="36" customHeight="1">
      <x:c r="A15" s="5" t="str">
        <x:v>3.2</x:v>
      </x:c>
      <x:c r="B15" s="5" t="str">
        <x:v>Ethics and CSR</x:v>
      </x:c>
      <x:c r="C15" s="5" t="str">
        <x:v>3</x:v>
      </x:c>
      <x:c r="D15" s="5" t="str">
        <x:v>No existing control</x:v>
      </x:c>
      <x:c r="E15" s="5" t="str">
        <x:v>Not covered</x:v>
      </x:c>
      <x:c r="F15" s="5" t="str">
        <x:v>No employee wellbeing support or misinformation response</x:v>
      </x:c>
    </x:row>
    <x:row r="16" ht="36" customHeight="1">
      <x:c r="A16" s="8" t="str">
        <x:v>3.3</x:v>
      </x:c>
      <x:c r="B16" s="8" t="str">
        <x:v>Regulator involvement</x:v>
      </x:c>
      <x:c r="C16" s="8" t="str">
        <x:v>3</x:v>
      </x:c>
      <x:c r="D16" s="8" t="str">
        <x:v>Audit trail, minimum-privilege access, legal support</x:v>
      </x:c>
      <x:c r="E16" s="8" t="str">
        <x:v>Partial</x:v>
      </x:c>
      <x:c r="F16" s="8" t="str">
        <x:v>No compliance register or breach reporting procedure</x:v>
      </x:c>
    </x:row>
    <x:row r="17" ht="36" customHeight="1">
      <x:c r="A17" s="5" t="str">
        <x:v>3.4</x:v>
      </x:c>
      <x:c r="B17" s="5" t="str">
        <x:v>Product quality and after-sales service</x:v>
      </x:c>
      <x:c r="C17" s="5" t="str">
        <x:v>4</x:v>
      </x:c>
      <x:c r="D17" s="5" t="str">
        <x:v>Customer incentive fund</x:v>
      </x:c>
      <x:c r="E17" s="5" t="str">
        <x:v>Partial</x:v>
      </x:c>
      <x:c r="F17" s="5" t="str">
        <x:v>Reacts after a failure. No service-level targets or claims backlog monitoring</x:v>
      </x:c>
    </x:row>
    <x:row r="18" ht="36" customHeight="1">
      <x:c r="A18" s="8" t="str">
        <x:v>4.1</x:v>
      </x:c>
      <x:c r="B18" s="8" t="str">
        <x:v>Revenue and return on investment</x:v>
      </x:c>
      <x:c r="C18" s="8" t="str">
        <x:v>4</x:v>
      </x:c>
      <x:c r="D18" s="8" t="str">
        <x:v>Financial modeling, incentive fund, market research</x:v>
      </x:c>
      <x:c r="E18" s="8" t="str">
        <x:v>Partial</x:v>
      </x:c>
      <x:c r="F18" s="8" t="str">
        <x:v>No monitoring of investment returns or premium deferral options</x:v>
      </x:c>
    </x:row>
    <x:row r="19" ht="36" customHeight="1">
      <x:c r="A19" s="5" t="str">
        <x:v>4.2</x:v>
      </x:c>
      <x:c r="B19" s="5" t="str">
        <x:v>Competition and technology</x:v>
      </x:c>
      <x:c r="C19" s="5" t="str">
        <x:v>4</x:v>
      </x:c>
      <x:c r="D19" s="5" t="str">
        <x:v>Continuous market research</x:v>
      </x:c>
      <x:c r="E19" s="5" t="str">
        <x:v>Partial</x:v>
      </x:c>
      <x:c r="F19" s="5" t="str">
        <x:v>Covers customer needs but not digital capacity or remote-capable channels</x:v>
      </x:c>
    </x:row>
    <x:row r="20" ht="36" customHeight="1">
      <x:c r="A20" s="8" t="str">
        <x:v>4.3</x:v>
      </x:c>
      <x:c r="B20" s="8" t="str">
        <x:v>Economic and political stability</x:v>
      </x:c>
      <x:c r="C20" s="8" t="str">
        <x:v>3</x:v>
      </x:c>
      <x:c r="D20" s="8" t="str">
        <x:v>No existing control</x:v>
      </x:c>
      <x:c r="E20" s="8" t="str">
        <x:v>Not covered</x:v>
      </x:c>
      <x:c r="F20" s="8" t="str">
        <x:v>No monitoring of Ontario and Canadian concentration</x:v>
      </x:c>
    </x:row>
    <x:row r="21" ht="36" customHeight="1">
      <x:c r="A21" s="5" t="str">
        <x:v>4.4</x:v>
      </x:c>
      <x:c r="B21" s="5" t="str">
        <x:v>Supply chain and costs</x:v>
      </x:c>
      <x:c r="C21" s="5" t="str">
        <x:v>4</x:v>
      </x:c>
      <x:c r="D21" s="5" t="str">
        <x:v>No existing control</x:v>
      </x:c>
      <x:c r="E21" s="5" t="str">
        <x:v>Not covered</x:v>
      </x:c>
      <x:c r="F21" s="5" t="str">
        <x:v>No contingency for repair or material delays</x:v>
      </x:c>
    </x:row>
  </x:sheetData>
  <x:pageMargins left="0.7" right="0.7" top="0.75" bottom="0.75" header="0.3" footer="0.3"/>
  <x:tableParts count="1">
    <x:tablePart xmlns:r="http://schemas.openxmlformats.org/officeDocument/2006/relationships" r:id="R125c573fabe04d63"/>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 hidden="0" customWidth="1"/>
    <x:col min="2" max="2" width="48" hidden="0" customWidth="1"/>
    <x:col min="3" max="3" width="20" hidden="0" customWidth="1"/>
    <x:col min="4" max="4" width="135" hidden="0" customWidth="1"/>
  </x:cols>
  <x:sheetData>
    <x:row r="1">
      <x:c r="A1" s="1"/>
      <x:c r="B1" s="1"/>
      <x:c r="C1" s="1"/>
      <x:c r="D1" s="1"/>
      <x:c r="E1" s="1"/>
      <x:c r="F1" s="1"/>
      <x:c r="G1" s="1"/>
      <x:c r="H1" s="1"/>
    </x:row>
    <x:row r="2">
      <x:c r="A2" s="2" t="str">
        <x:v>Source Text</x:v>
      </x:c>
      <x:c r="B2" s="1"/>
      <x:c r="C2" s="1"/>
      <x:c r="D2" s="1"/>
      <x:c r="E2" s="1"/>
      <x:c r="F2" s="1"/>
      <x:c r="G2" s="1"/>
      <x:c r="H2" s="1"/>
    </x:row>
    <x:row r="3" ht="24" customHeight="1">
      <x:c r="A3" s="1" t="str">
        <x:v>Original paragraphs and references from all four submissions. Later-dated evidence is retained here only, not used to justify onset-period ratings.</x:v>
      </x:c>
      <x:c r="B3" s="1"/>
      <x:c r="C3" s="1"/>
      <x:c r="D3" s="1"/>
      <x:c r="E3" s="1"/>
      <x:c r="F3" s="1"/>
      <x:c r="G3" s="1"/>
      <x:c r="H3" s="1"/>
    </x:row>
    <x:row r="5" ht="42" customHeight="1">
      <x:c r="A5" s="7" t="str">
        <x:v>Contributor</x:v>
      </x:c>
      <x:c r="B5" s="7" t="str">
        <x:v>Source file</x:v>
      </x:c>
      <x:c r="C5" s="7" t="str">
        <x:v>Location</x:v>
      </x:c>
      <x:c r="D5" s="7" t="str">
        <x:v>Original paragraph</x:v>
      </x:c>
    </x:row>
    <x:row r="6" ht="36" customHeight="1">
      <x:c r="A6" s="8" t="str">
        <x:v>Nathan</x:v>
      </x:c>
      <x:c r="B6" s="8" t="str">
        <x:v>Risk Record - References.docx</x:v>
      </x:c>
      <x:c r="C6" s="8" t="str">
        <x:v>Paragraph 1</x:v>
      </x:c>
      <x:c r="D6" s="8" t="str">
        <x:v>Risk References Component of the Risk Record</x:v>
      </x:c>
    </x:row>
    <x:row r="7" ht="36" customHeight="1">
      <x:c r="A7" s="5" t="str">
        <x:v>Nathan</x:v>
      </x:c>
      <x:c r="B7" s="5" t="str">
        <x:v>Risk Record - References.docx</x:v>
      </x:c>
      <x:c r="C7" s="5" t="str">
        <x:v>Paragraph 3</x:v>
      </x:c>
      <x:c r="D7" s="5" t="str">
        <x:v>Overview of Risk Codes</x:v>
      </x:c>
    </x:row>
    <x:row r="8" ht="72" customHeight="1">
      <x:c r="A8" s="8" t="str">
        <x:v>Nathan</x:v>
      </x:c>
      <x:c r="B8" s="8" t="str">
        <x:v>Risk Record - References.docx</x:v>
      </x:c>
      <x:c r="C8" s="8" t="str">
        <x:v>Paragraph 4</x:v>
      </x:c>
      <x:c r="D8" s="8" t="str">
        <x:v>A Risk Code is a short reference for one entry in a risk record. Each risk in the register has two references. The Record ID is a permanent link to the risk. The Risk Code shows the FIRM item and the primary cause of the risk, so readers can identify the risk type quickly in records, reports, and discussions. Functional managers propose the codes for risks in their areas, and the Risk Coordinator approves them.  </x:v>
      </x:c>
    </x:row>
    <x:row r="9" ht="36" customHeight="1">
      <x:c r="A9" s="5" t="str">
        <x:v>Nathan</x:v>
      </x:c>
      <x:c r="B9" s="5" t="str">
        <x:v>Risk Record - References.docx</x:v>
      </x:c>
      <x:c r="C9" s="5" t="str">
        <x:v>Paragraph 5</x:v>
      </x:c>
      <x:c r="D9" s="5" t="str">
        <x:v>How to Read Risk Codes</x:v>
      </x:c>
    </x:row>
    <x:row r="10" ht="36" customHeight="1">
      <x:c r="A10" s="8" t="str">
        <x:v>Nathan</x:v>
      </x:c>
      <x:c r="B10" s="8" t="str">
        <x:v>Risk Record - References.docx</x:v>
      </x:c>
      <x:c r="C10" s="8" t="str">
        <x:v>Paragraph 6</x:v>
      </x:c>
      <x:c r="D10" s="8" t="str">
        <x:v>The first three columns in our risk register look like this:</x:v>
      </x:c>
    </x:row>
    <x:row r="11" ht="57" customHeight="1">
      <x:c r="A11" s="5" t="str">
        <x:v>Nathan</x:v>
      </x:c>
      <x:c r="B11" s="5" t="str">
        <x:v>Risk Record - References.docx</x:v>
      </x:c>
      <x:c r="C11" s="5" t="str">
        <x:v>Paragraph 8</x:v>
      </x:c>
      <x:c r="D11" s="5" t="str">
        <x:v>Each entry shows the Record ID first. The Record ID identifies the entry and never changes. The code can change if we reclassify and move a risk, for example, if the risk moves to a different Index Item. Links in the backlog, change register, and incident log therefore use the Record ID, so each link points to the correct risk even after reclassification. </x:v>
      </x:c>
    </x:row>
    <x:row r="12" ht="36" customHeight="1">
      <x:c r="A12" s="8" t="str">
        <x:v>Nathan</x:v>
      </x:c>
      <x:c r="B12" s="8" t="str">
        <x:v>Risk Record - References.docx</x:v>
      </x:c>
      <x:c r="C12" s="8" t="str">
        <x:v>Paragraph 10</x:v>
      </x:c>
      <x:c r="D12" s="8" t="str">
        <x:v>Figure . The Four Parts of a Risk Code</x:v>
      </x:c>
    </x:row>
    <x:row r="13" ht="102" customHeight="1">
      <x:c r="A13" s="5" t="str">
        <x:v>Nathan</x:v>
      </x:c>
      <x:c r="B13" s="5" t="str">
        <x:v>Risk Record - References.docx</x:v>
      </x:c>
      <x:c r="C13" s="5" t="str">
        <x:v>Paragraph 11</x:v>
      </x:c>
      <x:c r="D13" s="5" t="str">
        <x:v>Each Risk Code has four parts (Figure 1), read from left to right or from the most general to the most specific. The topic is one of the four FIRM areas: F (Financial), I (Infrastructure), R (Reputation), or M (Marketplace). The number is the index number of the subtopic within that area. For example, F3 refers to item 1.3. Internal Controls and Credit in the Risk Register. Source is the primary cause of the risk. P is People, T is Technology, S is Suppliers and third parties, E is External Conditions, and C is Compliance and Conduct. Sequence is the order of entry within that item and source. For example, F3-S-01, F3-S-02, and F3-S-03 are three supplier risks under item 1.3. </x:v>
      </x:c>
    </x:row>
    <x:row r="14" ht="36" customHeight="1">
      <x:c r="A14" s="8" t="str">
        <x:v>Nathan</x:v>
      </x:c>
      <x:c r="B14" s="8" t="str">
        <x:v>Risk Record - References.docx</x:v>
      </x:c>
      <x:c r="C14" s="8" t="str">
        <x:v>Paragraph 12</x:v>
      </x:c>
      <x:c r="D14" s="8" t="str">
        <x:v>F3-T-01 therefore reads as Financial, Internal Controls and Credit, Technology, first risk. </x:v>
      </x:c>
    </x:row>
    <x:row r="15" ht="57" customHeight="1">
      <x:c r="A15" s="5" t="str">
        <x:v>Nathan</x:v>
      </x:c>
      <x:c r="B15" s="5" t="str">
        <x:v>Risk Record - References.docx</x:v>
      </x:c>
      <x:c r="C15" s="5" t="str">
        <x:v>Paragraph 13</x:v>
      </x:c>
      <x:c r="D15" s="5" t="str">
        <x:v>Risk Codes do not measure or rank the risk. The numbers show the item in the index and the order of entry, not severity. The order of the letters F, I, R, and M comes from the FIRM name and is also not a ranking. The source letter shows the primary cause of a risk, not the department responsible for managing it. </x:v>
      </x:c>
    </x:row>
    <x:row r="16" ht="36" customHeight="1">
      <x:c r="A16" s="8" t="str">
        <x:v>Nathan</x:v>
      </x:c>
      <x:c r="B16" s="8" t="str">
        <x:v>Risk Record - References.docx</x:v>
      </x:c>
      <x:c r="C16" s="8" t="str">
        <x:v>Paragraph 15</x:v>
      </x:c>
      <x:c r="D16" s="8" t="str">
        <x:v>How to Assign Codes</x:v>
      </x:c>
    </x:row>
    <x:row r="17" ht="57" customHeight="1">
      <x:c r="A17" s="5" t="str">
        <x:v>Nathan</x:v>
      </x:c>
      <x:c r="B17" s="5" t="str">
        <x:v>Risk Record - References.docx</x:v>
      </x:c>
      <x:c r="C17" s="5" t="str">
        <x:v>Paragraph 16</x:v>
      </x:c>
      <x:c r="D17" s="5" t="str">
        <x:v>New risks will emerge as the pandemic continues. Each new risk receives references under the existing risk reference standard [Record ID] ([Risk Code]), for example R-005 (F3-T-01). Functional managers know their processes best, so they classify risk in their areas. The Risk Coordinator approves each classification, so the same rules apply across all functions.</x:v>
      </x:c>
    </x:row>
    <x:row r="18" ht="36" customHeight="1">
      <x:c r="A18" s="8" t="str">
        <x:v>Nathan</x:v>
      </x:c>
      <x:c r="B18" s="8" t="str">
        <x:v>Risk Record - References.docx</x:v>
      </x:c>
      <x:c r="C18" s="8" t="str">
        <x:v>Paragraph 17</x:v>
      </x:c>
      <x:c r="D18" s="8" t="str">
        <x:v>When a manager wants to identify a new risk, they:</x:v>
      </x:c>
    </x:row>
    <x:row r="19" ht="36" customHeight="1">
      <x:c r="A19" s="5" t="str">
        <x:v>Nathan</x:v>
      </x:c>
      <x:c r="B19" s="5" t="str">
        <x:v>Risk Record - References.docx</x:v>
      </x:c>
      <x:c r="C19" s="5" t="str">
        <x:v>Paragraph 18</x:v>
      </x:c>
      <x:c r="D19" s="5" t="str">
        <x:v>Select the FIRM topic and the Index Item to which that risk belongs. </x:v>
      </x:c>
    </x:row>
    <x:row r="20" ht="36" customHeight="1">
      <x:c r="A20" s="8" t="str">
        <x:v>Nathan</x:v>
      </x:c>
      <x:c r="B20" s="8" t="str">
        <x:v>Risk Record - References.docx</x:v>
      </x:c>
      <x:c r="C20" s="8" t="str">
        <x:v>Paragraph 19</x:v>
      </x:c>
      <x:c r="D20" s="8" t="str">
        <x:v>Select the most appropriate source letter (see below).</x:v>
      </x:c>
    </x:row>
    <x:row r="21" ht="36" customHeight="1">
      <x:c r="A21" s="5" t="str">
        <x:v>Nathan</x:v>
      </x:c>
      <x:c r="B21" s="5" t="str">
        <x:v>Risk Record - References.docx</x:v>
      </x:c>
      <x:c r="C21" s="5" t="str">
        <x:v>Paragraph 20</x:v>
      </x:c>
      <x:c r="D21" s="5" t="str">
        <x:v>Submit the proposed classification, the risk description and the reasons to the Risk Coordinator. </x:v>
      </x:c>
    </x:row>
    <x:row r="22" ht="36" customHeight="1">
      <x:c r="A22" s="8" t="str">
        <x:v>Nathan</x:v>
      </x:c>
      <x:c r="B22" s="8" t="str">
        <x:v>Risk Record - References.docx</x:v>
      </x:c>
      <x:c r="C22" s="8" t="str">
        <x:v>Paragraph 21</x:v>
      </x:c>
      <x:c r="D22" s="8" t="str">
        <x:v>The coordinator will then:</x:v>
      </x:c>
    </x:row>
    <x:row r="23" ht="36" customHeight="1">
      <x:c r="A23" s="5" t="str">
        <x:v>Nathan</x:v>
      </x:c>
      <x:c r="B23" s="5" t="str">
        <x:v>Risk Record - References.docx</x:v>
      </x:c>
      <x:c r="C23" s="5" t="str">
        <x:v>Paragraph 22</x:v>
      </x:c>
      <x:c r="D23" s="5" t="str">
        <x:v>Check the classification against the standard and against similar risks in the register.</x:v>
      </x:c>
    </x:row>
    <x:row r="24" ht="36" customHeight="1">
      <x:c r="A24" s="8" t="str">
        <x:v>Nathan</x:v>
      </x:c>
      <x:c r="B24" s="8" t="str">
        <x:v>Risk Record - References.docx</x:v>
      </x:c>
      <x:c r="C24" s="8" t="str">
        <x:v>Paragraph 23</x:v>
      </x:c>
      <x:c r="D24" s="8" t="str">
        <x:v>Approve the classification or return it to the manager with reasons.</x:v>
      </x:c>
    </x:row>
    <x:row r="25" ht="36" customHeight="1">
      <x:c r="A25" s="5" t="str">
        <x:v>Nathan</x:v>
      </x:c>
      <x:c r="B25" s="5" t="str">
        <x:v>Risk Record - References.docx</x:v>
      </x:c>
      <x:c r="C25" s="5" t="str">
        <x:v>Paragraph 24</x:v>
      </x:c>
      <x:c r="D25" s="5" t="str">
        <x:v>Give the approved risk the next record ID and the next unused sequence number within its item and source.</x:v>
      </x:c>
    </x:row>
    <x:row r="26" ht="36" customHeight="1">
      <x:c r="A26" s="8" t="str">
        <x:v>Nathan</x:v>
      </x:c>
      <x:c r="B26" s="8" t="str">
        <x:v>Risk Record - References.docx</x:v>
      </x:c>
      <x:c r="C26" s="8" t="str">
        <x:v>Paragraph 25</x:v>
      </x:c>
      <x:c r="D26" s="8" t="str">
        <x:v>Add the entry to the risk record. </x:v>
      </x:c>
    </x:row>
    <x:row r="27" ht="42" customHeight="1">
      <x:c r="A27" s="5" t="str">
        <x:v>Nathan</x:v>
      </x:c>
      <x:c r="B27" s="5" t="str">
        <x:v>Risk Record - References.docx</x:v>
      </x:c>
      <x:c r="C27" s="5" t="str">
        <x:v>Paragraph 27</x:v>
      </x:c>
      <x:c r="D27" s="5" t="str">
        <x:v>If a risk is urgent, the coordinator should approve the classification immediately, so response actions can link to the risk from the start. If the code is wrong, a later correction does not break any links, because supporting documents link to the Record ID. </x:v>
      </x:c>
    </x:row>
    <x:row r="28" ht="36" customHeight="1">
      <x:c r="A28" s="8" t="str">
        <x:v>Nathan</x:v>
      </x:c>
      <x:c r="B28" s="8" t="str">
        <x:v>Risk Record - References.docx</x:v>
      </x:c>
      <x:c r="C28" s="8" t="str">
        <x:v>Paragraph 29</x:v>
      </x:c>
      <x:c r="D28" s="8" t="str">
        <x:v>How to Select the Source</x:v>
      </x:c>
    </x:row>
    <x:row r="29" ht="102" customHeight="1">
      <x:c r="A29" s="5" t="str">
        <x:v>Nathan</x:v>
      </x:c>
      <x:c r="B29" s="5" t="str">
        <x:v>Risk Record - References.docx</x:v>
      </x:c>
      <x:c r="C29" s="5" t="str">
        <x:v>Paragraph 30</x:v>
      </x:c>
      <x:c r="D29" s="5" t="str">
        <x:v>Many risks have more than one source but the code has space for only one source letter. Managers are encouraged to code the cause, not the effect. To find the cause, ask what we must change to prevent the risk. For example, remote work that exposes customer data, R-033 (R3-T-01), has a compliance effect but a technological cause, so the code uses T. A six-person IT team that cannot monitor systems at all hours, R-023 (I3-P-01), is an IT concern with a staffing cause, so the code uses P. If the test still gives two answers, managers should select the source that the planned response will address first and note the other sources in the risk description.</x:v>
      </x:c>
    </x:row>
    <x:row r="30" ht="36" customHeight="1">
      <x:c r="A30" s="8" t="str">
        <x:v>Nathan</x:v>
      </x:c>
      <x:c r="B30" s="8" t="str">
        <x:v>Risk Record - References.docx</x:v>
      </x:c>
      <x:c r="C30" s="8" t="str">
        <x:v>Paragraph 32</x:v>
      </x:c>
      <x:c r="D30" s="8" t="str">
        <x:v>How to Handle Changes</x:v>
      </x:c>
    </x:row>
    <x:row r="31" ht="72" customHeight="1">
      <x:c r="A31" s="5" t="str">
        <x:v>Nathan</x:v>
      </x:c>
      <x:c r="B31" s="5" t="str">
        <x:v>Risk Record - References.docx</x:v>
      </x:c>
      <x:c r="C31" s="5" t="str">
        <x:v>Paragraph 33</x:v>
      </x:c>
      <x:c r="D31" s="5" t="str">
        <x:v>Our understanding of some risks will change during the response. If a manager finds that a risk has the wrong item or source, the manager should propose a new classification to the Risk Coordinator. If approved, the risk should receive a new code with the next sequence number in its new position, but its record ID does not change. The coordinator records the old code, the new code, the date, and the reason in a Change Register. </x:v>
      </x:c>
    </x:row>
    <x:row r="32" ht="42" customHeight="1">
      <x:c r="A32" s="8" t="str">
        <x:v>Nathan</x:v>
      </x:c>
      <x:c r="B32" s="8" t="str">
        <x:v>Risk Record - References.docx</x:v>
      </x:c>
      <x:c r="C32" s="8" t="str">
        <x:v>Paragraph 34</x:v>
      </x:c>
      <x:c r="D32" s="8" t="str">
        <x:v>When a risk no longer applies and is retired, its references stay in the record history. We never reuse that Record ID or Risk Code to ensure that historical documents remain accurate. </x:v>
      </x:c>
    </x:row>
    <x:row r="33" ht="36" customHeight="1">
      <x:c r="A33" s="5" t="str">
        <x:v>Nathan</x:v>
      </x:c>
      <x:c r="B33" s="5" t="str">
        <x:v>Risk Record - References.docx</x:v>
      </x:c>
      <x:c r="C33" s="5" t="str">
        <x:v>Paragraph 37</x:v>
      </x:c>
      <x:c r="D33" s="5" t="str">
        <x:v>F-Financial</x:v>
      </x:c>
    </x:row>
    <x:row r="34" ht="36" customHeight="1">
      <x:c r="A34" s="8" t="str">
        <x:v>Nathan</x:v>
      </x:c>
      <x:c r="B34" s="8" t="str">
        <x:v>Risk Record - References.docx</x:v>
      </x:c>
      <x:c r="C34" s="8" t="str">
        <x:v>Paragraph 39</x:v>
      </x:c>
      <x:c r="D34" s="8" t="str">
        <x:v>I-Infrastructure</x:v>
      </x:c>
    </x:row>
    <x:row r="35" ht="36" customHeight="1">
      <x:c r="A35" s="5" t="str">
        <x:v>Nathan</x:v>
      </x:c>
      <x:c r="B35" s="5" t="str">
        <x:v>Risk Record - References.docx</x:v>
      </x:c>
      <x:c r="C35" s="5" t="str">
        <x:v>Paragraph 41</x:v>
      </x:c>
      <x:c r="D35" s="5" t="str">
        <x:v>R-Reputation</x:v>
      </x:c>
    </x:row>
    <x:row r="36" ht="36" customHeight="1">
      <x:c r="A36" s="8" t="str">
        <x:v>Nathan</x:v>
      </x:c>
      <x:c r="B36" s="8" t="str">
        <x:v>Risk Record - References.docx</x:v>
      </x:c>
      <x:c r="C36" s="8" t="str">
        <x:v>Paragraph 43</x:v>
      </x:c>
      <x:c r="D36" s="8" t="str">
        <x:v>M-Marketplace</x:v>
      </x:c>
    </x:row>
    <x:row r="37" ht="36" customHeight="1">
      <x:c r="A37" s="5" t="str">
        <x:v>Lester</x:v>
      </x:c>
      <x:c r="B37" s="5" t="str">
        <x:v>Risk Record - Nature of Risk.docx</x:v>
      </x:c>
      <x:c r="C37" s="5" t="str">
        <x:v>Paragraph 1</x:v>
      </x:c>
      <x:c r="D37" s="5" t="str">
        <x:v>F – Financial </x:v>
      </x:c>
    </x:row>
    <x:row r="38" ht="36" customHeight="1">
      <x:c r="A38" s="8" t="str">
        <x:v>Lester</x:v>
      </x:c>
      <x:c r="B38" s="8" t="str">
        <x:v>Risk Record - Nature of Risk.docx</x:v>
      </x:c>
      <x:c r="C38" s="8" t="str">
        <x:v>Paragraph 2</x:v>
      </x:c>
      <x:c r="D38" s="8" t="str">
        <x:v>Investment Funds</x:v>
      </x:c>
    </x:row>
    <x:row r="39" ht="72" customHeight="1">
      <x:c r="A39" s="5" t="str">
        <x:v>Lester</x:v>
      </x:c>
      <x:c r="B39" s="5" t="str">
        <x:v>Risk Record - Nature of Risk.docx</x:v>
      </x:c>
      <x:c r="C39" s="5" t="str">
        <x:v>Paragraph 3</x:v>
      </x:c>
      <x:c r="D39" s="5" t="str">
        <x:v>F1-E1-01: A global pandemic brings unprecedented challenges for business organizations. ITrustU will need to develop a crisis leadership team and pandemic plan that covers the way they operate, fulfill shifting customer demand, secure company data integrity, and comply with new regulations. ITrustU needs to adapt swiftly, and it will require additional fundings that might exceed company reserved amount. </x:v>
      </x:c>
    </x:row>
    <x:row r="40" ht="57" customHeight="1">
      <x:c r="A40" s="8" t="str">
        <x:v>Lester</x:v>
      </x:c>
      <x:c r="B40" s="8" t="str">
        <x:v>Risk Record - Nature of Risk.docx</x:v>
      </x:c>
      <x:c r="C40" s="8" t="str">
        <x:v>Paragraph 4</x:v>
      </x:c>
      <x:c r="D40" s="8" t="str">
        <x:v>F1-S-01: Being backed by the world’s 6th largest insurance group Tiva, we may expect some levels of support from them. But the exact terms are unclear from Tiva, as in what kind of support we may get, and by how much. ITrustU should not develop its pandemic plan around the assumption of support from Tiva, but keep in mind that it’s a potential source that is worth following up on. </x:v>
      </x:c>
    </x:row>
    <x:row r="41" ht="36" customHeight="1">
      <x:c r="A41" s="5" t="str">
        <x:v>Lester</x:v>
      </x:c>
      <x:c r="B41" s="5" t="str">
        <x:v>Risk Record - Nature of Risk.docx</x:v>
      </x:c>
      <x:c r="C41" s="5" t="str">
        <x:v>Paragraph 5</x:v>
      </x:c>
      <x:c r="D41" s="5" t="str">
        <x:v>Fund Allocation</x:v>
      </x:c>
    </x:row>
    <x:row r="42" ht="72" customHeight="1">
      <x:c r="A42" s="8" t="str">
        <x:v>Lester</x:v>
      </x:c>
      <x:c r="B42" s="8" t="str">
        <x:v>Risk Record - Nature of Risk.docx</x:v>
      </x:c>
      <x:c r="C42" s="8" t="str">
        <x:v>Paragraph 6</x:v>
      </x:c>
      <x:c r="D42" s="8" t="str">
        <x:v>F2-P-02: After completing our Riskiness Index, marketplace and reputation turned out to be the most at-risk sections with scores of 15 and 14 while infrastructure and financial are lower with score of 13 out of 20. It’s likely that our focus on risk management plan is on the wrong section. Specialists required may not follow our risks focus, for example we don’t have a crisis leadership team to develop a pandemic plan in place, or specialized IT team to prevent cyber-attacks. </x:v>
      </x:c>
    </x:row>
    <x:row r="43" ht="57" customHeight="1">
      <x:c r="A43" s="5" t="str">
        <x:v>Lester</x:v>
      </x:c>
      <x:c r="B43" s="5" t="str">
        <x:v>Risk Record - Nature of Risk.docx</x:v>
      </x:c>
      <x:c r="C43" s="5" t="str">
        <x:v>Paragraph 7</x:v>
      </x:c>
      <x:c r="D43" s="5" t="str">
        <x:v>F2-E-01: ITrustU might need to sell volatiles at a loss to pay the huge lump sum of claims during a pandemic, especially during the initial phase when there is a large shift in claim demands. We can expect an unusual amount of flight cancellation claims, life insurance, home coverage, and pension plans while there is likely to be less travel and car insurance claims. </x:v>
      </x:c>
    </x:row>
    <x:row r="44" ht="36" customHeight="1">
      <x:c r="A44" s="8" t="str">
        <x:v>Lester</x:v>
      </x:c>
      <x:c r="B44" s="8" t="str">
        <x:v>Risk Record - Nature of Risk.docx</x:v>
      </x:c>
      <x:c r="C44" s="8" t="str">
        <x:v>Paragraph 8</x:v>
      </x:c>
      <x:c r="D44" s="8" t="str">
        <x:v>Internal controls and credit</x:v>
      </x:c>
    </x:row>
    <x:row r="45" ht="72" customHeight="1">
      <x:c r="A45" s="5" t="str">
        <x:v>Lester</x:v>
      </x:c>
      <x:c r="B45" s="5" t="str">
        <x:v>Risk Record - Nature of Risk.docx</x:v>
      </x:c>
      <x:c r="C45" s="5" t="str">
        <x:v>Paragraph 9</x:v>
      </x:c>
      <x:c r="D45" s="5" t="str">
        <x:v>F3-T-01: Cyber threats are more frequent during lockdown, especially in the form of fake claims that cause company financial loss. For example, people may fake medical bills, hack customer accounts or alter claim records to unlawfully obtain claims. Just recently, a Florida man pleaded guilty for this role in a COVID-era healthcare fraud scheme, with more than $500 million in fake claims to government-backed health programs (Owens, 2026).</x:v>
      </x:c>
    </x:row>
    <x:row r="46" ht="57" customHeight="1">
      <x:c r="A46" s="8" t="str">
        <x:v>Lester</x:v>
      </x:c>
      <x:c r="B46" s="8" t="str">
        <x:v>Risk Record - Nature of Risk.docx</x:v>
      </x:c>
      <x:c r="C46" s="8" t="str">
        <x:v>Paragraph 10</x:v>
      </x:c>
      <x:c r="D46" s="8" t="str">
        <x:v>F3-S-01: ITrustU replies on 3rd party providers for services like back-up storage, web server hosting, internet connections, and any additional platforms or services we may need for the pandemic. But any failures in those sections are our responsibilities, and we will have to deal with the aftermath. </x:v>
      </x:c>
    </x:row>
    <x:row r="47" ht="57" customHeight="1">
      <x:c r="A47" s="5" t="str">
        <x:v>Lester</x:v>
      </x:c>
      <x:c r="B47" s="5" t="str">
        <x:v>Risk Record - Nature of Risk.docx</x:v>
      </x:c>
      <x:c r="C47" s="5" t="str">
        <x:v>Paragraph 11</x:v>
      </x:c>
      <x:c r="D47" s="5" t="str">
        <x:v>F3-S-02: Other businesses like banks are affected by pandemic as well and may not be able to transfer customers premiums to ITrustU on time or deny transfer completely. This may be due to banks experiencing technical issues, or financial difficulties of their own. In this case, we will have to cover the gap by ourselves through means like selling volatiles at a loss etc. </x:v>
      </x:c>
    </x:row>
    <x:row r="48" ht="57" customHeight="1">
      <x:c r="A48" s="8" t="str">
        <x:v>Lester</x:v>
      </x:c>
      <x:c r="B48" s="8" t="str">
        <x:v>Risk Record - Nature of Risk.docx</x:v>
      </x:c>
      <x:c r="C48" s="8" t="str">
        <x:v>Paragraph 12</x:v>
      </x:c>
      <x:c r="D48" s="8" t="str">
        <x:v>F3-S-03: The same issue can be applied to reinsurers of ITrustU, resulting in delay in paying customer claims and loss of company assets. “The top 20 global reinsurers reported about $12 billion in COVID-19 losses in the first six months of 2020, according to S$P (Lockton, 2020)”.</x:v>
      </x:c>
    </x:row>
    <x:row r="49" ht="57" customHeight="1">
      <x:c r="A49" s="5" t="str">
        <x:v>Lester</x:v>
      </x:c>
      <x:c r="B49" s="5" t="str">
        <x:v>Risk Record - Nature of Risk.docx</x:v>
      </x:c>
      <x:c r="C49" s="5" t="str">
        <x:v>Paragraph 13</x:v>
      </x:c>
      <x:c r="D49" s="5" t="str">
        <x:v>F3-E-01: ITrustU invests parts of the premium collected into Canadian stocks and bonds to maintain business operation. Bond issuers could face financial difficulties in returning company investment plus interest. Dealers may face challenging funding conditions to keep up their supply of liquidity (Fontaine &amp; Walton, 2020). </x:v>
      </x:c>
    </x:row>
    <x:row r="50" ht="36" customHeight="1">
      <x:c r="A50" s="8" t="str">
        <x:v>Lester</x:v>
      </x:c>
      <x:c r="B50" s="8" t="str">
        <x:v>Risk Record - Nature of Risk.docx</x:v>
      </x:c>
      <x:c r="C50" s="8" t="str">
        <x:v>Paragraph 14</x:v>
      </x:c>
      <x:c r="D50" s="8" t="str">
        <x:v>Reserves</x:v>
      </x:c>
    </x:row>
    <x:row r="51" ht="72" customHeight="1">
      <x:c r="A51" s="5" t="str">
        <x:v>Lester</x:v>
      </x:c>
      <x:c r="B51" s="5" t="str">
        <x:v>Risk Record - Nature of Risk.docx</x:v>
      </x:c>
      <x:c r="C51" s="5" t="str">
        <x:v>Paragraph 15</x:v>
      </x:c>
      <x:c r="D51" s="5" t="str">
        <x:v>F4-E-01: Devastating extreme weather events can cause property damage, resulting in more claims, potentially surpass what company reserve and cash can cover. This has been an increasingly severe financial issue for insurance companies. Canada’s annual insured losses has nearly tripled the previous decade, adjusted for inflation (Severe Weather-Related Insured Losses in Canada Exceed $2.4 Billion in 2025, n.d.). </x:v>
      </x:c>
    </x:row>
    <x:row r="52" ht="72" customHeight="1">
      <x:c r="A52" s="8" t="str">
        <x:v>Lester</x:v>
      </x:c>
      <x:c r="B52" s="8" t="str">
        <x:v>Risk Record - Nature of Risk.docx</x:v>
      </x:c>
      <x:c r="C52" s="8" t="str">
        <x:v>Paragraph 16</x:v>
      </x:c>
      <x:c r="D52" s="8" t="str">
        <x:v>F4-E-02: One of the main impacts from pandemic is the sudden rise of claims related to travel cancellation and health. Due to regulations in place like limited travel, closed borders, and social distancing, people might be forced to cancel any travel plan they already made. Following the spread of COVID-19, life insurance claims are most likely to surge suddenly. This is the main area company reserve will be used for. </x:v>
      </x:c>
    </x:row>
    <x:row r="53" ht="36" customHeight="1">
      <x:c r="A53" s="5" t="str">
        <x:v>Lester</x:v>
      </x:c>
      <x:c r="B53" s="5" t="str">
        <x:v>Risk Record - Nature of Risk.docx</x:v>
      </x:c>
      <x:c r="C53" s="5" t="str">
        <x:v>Paragraph 17</x:v>
      </x:c>
      <x:c r="D53" s="5" t="str">
        <x:v>F4-E-03: A lower interest rate will require company to invest more to gain fundings to pay for customer pension plans. </x:v>
      </x:c>
    </x:row>
    <x:row r="54" ht="36" customHeight="1">
      <x:c r="A54" s="8" t="str">
        <x:v>Lester</x:v>
      </x:c>
      <x:c r="B54" s="8" t="str">
        <x:v>Risk Record - Nature of Risk.docx</x:v>
      </x:c>
      <x:c r="C54" s="8" t="str">
        <x:v>Paragraph 21</x:v>
      </x:c>
      <x:c r="D54" s="8" t="str">
        <x:v>I – Infrastructure</x:v>
      </x:c>
    </x:row>
    <x:row r="55" ht="36" customHeight="1">
      <x:c r="A55" s="5" t="str">
        <x:v>Lester</x:v>
      </x:c>
      <x:c r="B55" s="5" t="str">
        <x:v>Risk Record - Nature of Risk.docx</x:v>
      </x:c>
      <x:c r="C55" s="5" t="str">
        <x:v>Paragraph 22</x:v>
      </x:c>
      <x:c r="D55" s="5" t="str">
        <x:v>People Skills</x:v>
      </x:c>
    </x:row>
    <x:row r="56" ht="42" customHeight="1">
      <x:c r="A56" s="8" t="str">
        <x:v>Lester</x:v>
      </x:c>
      <x:c r="B56" s="8" t="str">
        <x:v>Risk Record - Nature of Risk.docx</x:v>
      </x:c>
      <x:c r="C56" s="8" t="str">
        <x:v>Paragraph 23</x:v>
      </x:c>
      <x:c r="D56" s="8" t="str">
        <x:v>I1-P-01: One of the main sections that the pandemic plan will need to address is a remote work plan. A good remote work plan is key to maintaining company operation because everything will be moved online due to social distancing policy in place. </x:v>
      </x:c>
    </x:row>
    <x:row r="57" ht="87" customHeight="1">
      <x:c r="A57" s="5" t="str">
        <x:v>Lester</x:v>
      </x:c>
      <x:c r="B57" s="5" t="str">
        <x:v>Risk Record - Nature of Risk.docx</x:v>
      </x:c>
      <x:c r="C57" s="5" t="str">
        <x:v>Paragraph 24</x:v>
      </x:c>
      <x:c r="D57" s="5" t="str">
        <x:v>I1-P-02: A remote working environment does not guarantee safety from the virus. People can still be infected through household members, going out when necessary and not following policy like social distancing, wearing a mask or wash hands frequently. The result of which is staff may become ill and isolated, in the worst case, death. ITrustU is one of Ontario’s largest insurers with a market share of around 70 percent, but only with 50+ staff. This limits our human resource flexibility, and isolation will likely cause mental health issues as well, which decreases productivity. </x:v>
      </x:c>
    </x:row>
    <x:row r="58" ht="72" customHeight="1">
      <x:c r="A58" s="8" t="str">
        <x:v>Lester</x:v>
      </x:c>
      <x:c r="B58" s="8" t="str">
        <x:v>Risk Record - Nature of Risk.docx</x:v>
      </x:c>
      <x:c r="C58" s="8" t="str">
        <x:v>Paragraph 25</x:v>
      </x:c>
      <x:c r="D58" s="8" t="str">
        <x:v>I1-P-03: Specialist roles are difficult to replace quickly for a major company with only 50+ employees across all its sectors, often some of them have only 1 or 2 staff. This means replacing a staff will often cost more time for other employees of the same sector or employees from other sectors to train them, reducing productivity significantly and causing work disruption. While shifting to remote work, employees are likely required to undergo additional training programs to ensure a smooth transition.  </x:v>
      </x:c>
    </x:row>
    <x:row r="59" ht="57" customHeight="1">
      <x:c r="A59" s="5" t="str">
        <x:v>Lester</x:v>
      </x:c>
      <x:c r="B59" s="5" t="str">
        <x:v>Risk Record - Nature of Risk.docx</x:v>
      </x:c>
      <x:c r="C59" s="5" t="str">
        <x:v>Paragraph 26</x:v>
      </x:c>
      <x:c r="D59" s="5" t="str">
        <x:v>I1-P-04: ITrustU did not prepare a pandemic risk management plan and is currently in development process. Therefore, no employee has risk management as their main responsibility, and this will be emphasized as part of the new employee remote work training program. Risk management is often like a chain: hazard happens when the weakiest link breaks. </x:v>
      </x:c>
    </x:row>
    <x:row r="60" ht="36" customHeight="1">
      <x:c r="A60" s="8" t="str">
        <x:v>Lester</x:v>
      </x:c>
      <x:c r="B60" s="8" t="str">
        <x:v>Risk Record - Nature of Risk.docx</x:v>
      </x:c>
      <x:c r="C60" s="8" t="str">
        <x:v>Paragraph 27</x:v>
      </x:c>
      <x:c r="D60" s="8" t="str">
        <x:v>Premises and Equipment</x:v>
      </x:c>
    </x:row>
    <x:row r="61" ht="57" customHeight="1">
      <x:c r="A61" s="5" t="str">
        <x:v>Lester</x:v>
      </x:c>
      <x:c r="B61" s="5" t="str">
        <x:v>Risk Record - Nature of Risk.docx</x:v>
      </x:c>
      <x:c r="C61" s="5" t="str">
        <x:v>Paragraph 28</x:v>
      </x:c>
      <x:c r="D61" s="5" t="str">
        <x:v>I2-T-01: The company has 50 desktops with varying capabilities and only a couple of laptops, which is not enough to transit to remote workflow smoothly. Desktops are likely to stay in the company building and employees will have to acquire new laptops that can operate their daily tasks. Company will have to pay a lump sum for equipment at the start of pandemic. </x:v>
      </x:c>
    </x:row>
    <x:row r="62" ht="42" customHeight="1">
      <x:c r="A62" s="8" t="str">
        <x:v>Lester</x:v>
      </x:c>
      <x:c r="B62" s="8" t="str">
        <x:v>Risk Record - Nature of Risk.docx</x:v>
      </x:c>
      <x:c r="C62" s="8" t="str">
        <x:v>Paragraph 29</x:v>
      </x:c>
      <x:c r="D62" s="8" t="str">
        <x:v>I2-E-01: ITrustU uses on-site servers for internal networks. Public health restrictions will limit staff access to company buildings to maintain these servers, and the 50 company desktops. Operation disruption might happen if there is a server malfunctioning. </x:v>
      </x:c>
    </x:row>
    <x:row r="63" ht="36" customHeight="1">
      <x:c r="A63" s="5" t="str">
        <x:v>Lester</x:v>
      </x:c>
      <x:c r="B63" s="5" t="str">
        <x:v>Risk Record - Nature of Risk.docx</x:v>
      </x:c>
      <x:c r="C63" s="5" t="str">
        <x:v>Paragraph 30</x:v>
      </x:c>
      <x:c r="D63" s="5" t="str">
        <x:v>IT Resilience</x:v>
      </x:c>
    </x:row>
    <x:row r="64" ht="72" customHeight="1">
      <x:c r="A64" s="8" t="str">
        <x:v>Lester</x:v>
      </x:c>
      <x:c r="B64" s="8" t="str">
        <x:v>Risk Record - Nature of Risk.docx</x:v>
      </x:c>
      <x:c r="C64" s="8" t="str">
        <x:v>Paragraph 31</x:v>
      </x:c>
      <x:c r="D64" s="8" t="str">
        <x:v>I3-T-01: To mitigate against cyber threats and maintain communication, ITrustU should put corresponding security measures in place like VPNs, multi-factor authentication, and limited visibility. This should also be included in the new staff training program. The insurance company Aflac suffered a cybersecurity attack in June 2025 that resulted 4.38 million customers and agents data stolen (Aflac Japan Breach Exposes Millions of Customer Records, 2026).</x:v>
      </x:c>
    </x:row>
    <x:row r="65" ht="72" customHeight="1">
      <x:c r="A65" s="5" t="str">
        <x:v>Lester</x:v>
      </x:c>
      <x:c r="B65" s="5" t="str">
        <x:v>Risk Record - Nature of Risk.docx</x:v>
      </x:c>
      <x:c r="C65" s="5" t="str">
        <x:v>Paragraph 32</x:v>
      </x:c>
      <x:c r="D65" s="5" t="str">
        <x:v>I3-T-02: Internal connection includes company servers, computers, and systems. External connections include company connections to remote employees, customers, and outside services. A bottleneck happens when there is a delay in data transfer between them, causing disruption in providing customer services and processing claims. This is the result of an insufficient remote work plan and could damage company reputation.</x:v>
      </x:c>
    </x:row>
    <x:row r="66" ht="42" customHeight="1">
      <x:c r="A66" s="8" t="str">
        <x:v>Lester</x:v>
      </x:c>
      <x:c r="B66" s="8" t="str">
        <x:v>Risk Record - Nature of Risk.docx</x:v>
      </x:c>
      <x:c r="C66" s="8" t="str">
        <x:v>Paragraph 33</x:v>
      </x:c>
      <x:c r="D66" s="8" t="str">
        <x:v>I3-T-03: This is a more serious case of the previous risk, which is when services come to a complete halt instead of delay due to network outages. This is also the result of lack of network capacity and can be prevented through a backup connection. </x:v>
      </x:c>
    </x:row>
    <x:row r="67" ht="57" customHeight="1">
      <x:c r="A67" s="5" t="str">
        <x:v>Lester</x:v>
      </x:c>
      <x:c r="B67" s="5" t="str">
        <x:v>Risk Record - Nature of Risk.docx</x:v>
      </x:c>
      <x:c r="C67" s="5" t="str">
        <x:v>Paragraph 34</x:v>
      </x:c>
      <x:c r="D67" s="5" t="str">
        <x:v>I3-P-01: ITrustU has an IT team of 5 people and 1 Network Manager. This is insufficient to monitor systems at all hours since we are a major insurance company that owns 70% of Ontario market. This is a result of poor staff management and will likely require further investments in training new IT employees. </x:v>
      </x:c>
    </x:row>
    <x:row r="68" ht="42" customHeight="1">
      <x:c r="A68" s="8" t="str">
        <x:v>Lester</x:v>
      </x:c>
      <x:c r="B68" s="8" t="str">
        <x:v>Risk Record - Nature of Risk.docx</x:v>
      </x:c>
      <x:c r="C68" s="8" t="str">
        <x:v>Paragraph 35</x:v>
      </x:c>
      <x:c r="D68" s="8" t="str">
        <x:v>I3-T-04:  Auditing the controls in place is key in risk management. When system capacity and recovery arrangements are not tested, this gives gaps to other risks like network outages and connection bottleneck. </x:v>
      </x:c>
    </x:row>
    <x:row r="69" ht="36" customHeight="1">
      <x:c r="A69" s="5" t="str">
        <x:v>Lester</x:v>
      </x:c>
      <x:c r="B69" s="5" t="str">
        <x:v>Risk Record - Nature of Risk.docx</x:v>
      </x:c>
      <x:c r="C69" s="5" t="str">
        <x:v>Paragraph 36</x:v>
      </x:c>
      <x:c r="D69" s="5" t="str">
        <x:v>Product Availability and Suppliers</x:v>
      </x:c>
    </x:row>
    <x:row r="70" ht="72" customHeight="1">
      <x:c r="A70" s="8" t="str">
        <x:v>Lester</x:v>
      </x:c>
      <x:c r="B70" s="8" t="str">
        <x:v>Risk Record - Nature of Risk.docx</x:v>
      </x:c>
      <x:c r="C70" s="8" t="str">
        <x:v>Paragraph 37</x:v>
      </x:c>
      <x:c r="D70" s="8" t="str">
        <x:v>I4-P-01: Remote work means limited access to company devices on premises. ITrustU has 50 desktops and on-site servers for internal connections that company operation depends on. It may take longer to get systems or services working again when employees have limited access. Recovery time is often just as important as prevention, for a major company like us, a second of service disruption could cost considerably amount of revenue. </x:v>
      </x:c>
    </x:row>
    <x:row r="71" ht="57" customHeight="1">
      <x:c r="A71" s="5" t="str">
        <x:v>Lester</x:v>
      </x:c>
      <x:c r="B71" s="5" t="str">
        <x:v>Risk Record - Nature of Risk.docx</x:v>
      </x:c>
      <x:c r="C71" s="5" t="str">
        <x:v>Paragraph 38</x:v>
      </x:c>
      <x:c r="D71" s="5" t="str">
        <x:v>I4-S-01: When an outside company that ITrustU depends on for service face disruptions and results in our key services’ delay or termination. These 3rd party services include ISP, security consultants, cloud server provider, shredding services, printing services, mailing services, and legal services. Most of them are critical for remote workflow. </x:v>
      </x:c>
    </x:row>
    <x:row r="72" ht="42" customHeight="1">
      <x:c r="A72" s="8" t="str">
        <x:v>Lester</x:v>
      </x:c>
      <x:c r="B72" s="8" t="str">
        <x:v>Risk Record - Nature of Risk.docx</x:v>
      </x:c>
      <x:c r="C72" s="8" t="str">
        <x:v>Paragraph 39</x:v>
      </x:c>
      <x:c r="D72" s="8" t="str">
        <x:v>I4-T-01: ITrustU is still in process to develop a remote work plan and crisis leadership team. The next steps would be to develop related crisis management or disaster recovery procedures for employee gaps or 3rd party service provider issues. </x:v>
      </x:c>
    </x:row>
    <x:row r="73" ht="36" customHeight="1">
      <x:c r="A73" s="5" t="str">
        <x:v>Lester</x:v>
      </x:c>
      <x:c r="B73" s="5" t="str">
        <x:v>Risk Record - Nature of Risk.docx</x:v>
      </x:c>
      <x:c r="C73" s="5" t="str">
        <x:v>Paragraph 40</x:v>
      </x:c>
      <x:c r="D73" s="5" t="str">
        <x:v>R – Reputation</x:v>
      </x:c>
    </x:row>
    <x:row r="74" ht="36" customHeight="1">
      <x:c r="A74" s="8" t="str">
        <x:v>Lester</x:v>
      </x:c>
      <x:c r="B74" s="8" t="str">
        <x:v>Risk Record - Nature of Risk.docx</x:v>
      </x:c>
      <x:c r="C74" s="8" t="str">
        <x:v>Paragraph 41</x:v>
      </x:c>
      <x:c r="D74" s="8" t="str">
        <x:v>Public Perception</x:v>
      </x:c>
    </x:row>
    <x:row r="75" ht="57" customHeight="1">
      <x:c r="A75" s="5" t="str">
        <x:v>Lester</x:v>
      </x:c>
      <x:c r="B75" s="5" t="str">
        <x:v>Risk Record - Nature of Risk.docx</x:v>
      </x:c>
      <x:c r="C75" s="5" t="str">
        <x:v>Paragraph 42</x:v>
      </x:c>
      <x:c r="D75" s="5" t="str">
        <x:v>R1-P-01: With just over 50 employees, we may struggle to manage this sudden increase in workload in travel cancellation claims, customer requests and disagreement with coverage especially during the initial phase of pandemic. This causes late responses that could damage company reputation. </x:v>
      </x:c>
    </x:row>
    <x:row r="76" ht="72" customHeight="1">
      <x:c r="A76" s="8" t="str">
        <x:v>Lester</x:v>
      </x:c>
      <x:c r="B76" s="8" t="str">
        <x:v>Risk Record - Nature of Risk.docx</x:v>
      </x:c>
      <x:c r="C76" s="8" t="str">
        <x:v>Paragraph 43</x:v>
      </x:c>
      <x:c r="D76" s="8" t="str">
        <x:v>R1-C-01: Adding on top of the already overload of works, staffs may not be as considerate and understandable when communicating with customers. In some cases when customers are struggling financially, staff may overlook that sentiment and provide solutions that gives customers a sense of disregard or cold. Customers may spread words about their terrible experience with us and further damage our reputation.</x:v>
      </x:c>
    </x:row>
    <x:row r="77" ht="36" customHeight="1">
      <x:c r="A77" s="5" t="str">
        <x:v>Lester</x:v>
      </x:c>
      <x:c r="B77" s="5" t="str">
        <x:v>Risk Record - Nature of Risk.docx</x:v>
      </x:c>
      <x:c r="C77" s="5" t="str">
        <x:v>Paragraph 44</x:v>
      </x:c>
      <x:c r="D77" s="5" t="str">
        <x:v>Ethics and Corporate Responsibility</x:v>
      </x:c>
    </x:row>
    <x:row r="78" ht="42" customHeight="1">
      <x:c r="A78" s="8" t="str">
        <x:v>Lester</x:v>
      </x:c>
      <x:c r="B78" s="8" t="str">
        <x:v>Risk Record - Nature of Risk.docx</x:v>
      </x:c>
      <x:c r="C78" s="8" t="str">
        <x:v>Paragraph 45</x:v>
      </x:c>
      <x:c r="D78" s="8" t="str">
        <x:v>R2-C-01: Misinformation surrounding the pandemic may create confusion about insurance coverage and our response to changing conditions. Unclear or misleading statements could undermine trust and prevent customers from making informed decisions.</x:v>
      </x:c>
    </x:row>
    <x:row r="79" ht="72" customHeight="1">
      <x:c r="A79" s="5" t="str">
        <x:v>Lester</x:v>
      </x:c>
      <x:c r="B79" s="5" t="str">
        <x:v>Risk Record - Nature of Risk.docx</x:v>
      </x:c>
      <x:c r="C79" s="5" t="str">
        <x:v>Paragraph 46</x:v>
      </x:c>
      <x:c r="D79" s="5" t="str">
        <x:v>R2-P-01: The sudden change of work style from in office to home can cause  emotional stress for employee in long term, as human are social animal and the isolation can create anxiety. To ensure employee performance, company should develop employee mental health support programs. “KPMG recently sent an e-mail to its staff highlighting the various internal resources available and encouraging them to build mental health resilience. (Bouw, 2020)”</x:v>
      </x:c>
    </x:row>
    <x:row r="80" ht="36" customHeight="1">
      <x:c r="A80" s="8" t="str">
        <x:v>Lester</x:v>
      </x:c>
      <x:c r="B80" s="8" t="str">
        <x:v>Risk Record - Nature of Risk.docx</x:v>
      </x:c>
      <x:c r="C80" s="8" t="str">
        <x:v>Paragraph 47</x:v>
      </x:c>
      <x:c r="D80" s="8" t="str">
        <x:v>Regulation and Compliances</x:v>
      </x:c>
    </x:row>
    <x:row r="81" ht="42" customHeight="1">
      <x:c r="A81" s="5" t="str">
        <x:v>Lester</x:v>
      </x:c>
      <x:c r="B81" s="5" t="str">
        <x:v>Risk Record - Nature of Risk.docx</x:v>
      </x:c>
      <x:c r="C81" s="5" t="str">
        <x:v>Paragraph 48</x:v>
      </x:c>
      <x:c r="D81" s="5" t="str">
        <x:v>R3-P-01: The increased workload will be stressful for ITrustU employees. Therefore, we can expect some human errors during processing and overlooked details. This is also due to the small size of the company with only 50+ staffs.</x:v>
      </x:c>
    </x:row>
    <x:row r="82" ht="42" customHeight="1">
      <x:c r="A82" s="8" t="str">
        <x:v>Lester</x:v>
      </x:c>
      <x:c r="B82" s="8" t="str">
        <x:v>Risk Record - Nature of Risk.docx</x:v>
      </x:c>
      <x:c r="C82" s="8" t="str">
        <x:v>Paragraph 49</x:v>
      </x:c>
      <x:c r="D82" s="8" t="str">
        <x:v>R3-T-01: Remote work requires constant data transfer between internal and external internet connection. Without proper safeguard and staff training in place, customer data might be leaked, causing company reputation damage. </x:v>
      </x:c>
    </x:row>
    <x:row r="83" ht="42" customHeight="1">
      <x:c r="A83" s="5" t="str">
        <x:v>Lester</x:v>
      </x:c>
      <x:c r="B83" s="5" t="str">
        <x:v>Risk Record - Nature of Risk.docx</x:v>
      </x:c>
      <x:c r="C83" s="5" t="str">
        <x:v>Paragraph 50</x:v>
      </x:c>
      <x:c r="D83" s="5" t="str">
        <x:v>R3-C-01: ITrustU may not have identified all the regulatory requirements from FRSA, FINTRAC, OSFI that apply to its business. This could lead to legal troubles and damage company reputation, fine, and operation may be suspended.</x:v>
      </x:c>
    </x:row>
    <x:row r="84" ht="36" customHeight="1">
      <x:c r="A84" s="8" t="str">
        <x:v>Lester</x:v>
      </x:c>
      <x:c r="B84" s="8" t="str">
        <x:v>Risk Record - Nature of Risk.docx</x:v>
      </x:c>
      <x:c r="C84" s="8" t="str">
        <x:v>Paragraph 51</x:v>
      </x:c>
      <x:c r="D84" s="8" t="str">
        <x:v>Product Quality and Service</x:v>
      </x:c>
    </x:row>
    <x:row r="85" ht="42" customHeight="1">
      <x:c r="A85" s="5" t="str">
        <x:v>Lester</x:v>
      </x:c>
      <x:c r="B85" s="5" t="str">
        <x:v>Risk Record - Nature of Risk.docx</x:v>
      </x:c>
      <x:c r="C85" s="5" t="str">
        <x:v>Paragraph 52</x:v>
      </x:c>
      <x:c r="D85" s="5" t="str">
        <x:v>R4-P-01: Limited number of available staffs for customer services may delay our response, putting customer calls on a longer wait time, damaging reputation and service quality.</x:v>
      </x:c>
    </x:row>
    <x:row r="86" ht="42" customHeight="1">
      <x:c r="A86" s="8" t="str">
        <x:v>Lester</x:v>
      </x:c>
      <x:c r="B86" s="8" t="str">
        <x:v>Risk Record - Nature of Risk.docx</x:v>
      </x:c>
      <x:c r="C86" s="8" t="str">
        <x:v>Paragraph 53</x:v>
      </x:c>
      <x:c r="D86" s="8" t="str">
        <x:v>R4-C-01: Due to staff shortage and poor management of online misinformation and communication to customers, there might be confusion around our service timelines and coverage limits, causing unnecessary arguments that damage our reputation.</x:v>
      </x:c>
    </x:row>
    <x:row r="87" ht="36" customHeight="1">
      <x:c r="A87" s="5" t="str">
        <x:v>Lester</x:v>
      </x:c>
      <x:c r="B87" s="5" t="str">
        <x:v>Risk Record - Nature of Risk.docx</x:v>
      </x:c>
      <x:c r="C87" s="5" t="str">
        <x:v>Paragraph 55</x:v>
      </x:c>
      <x:c r="D87" s="5" t="str">
        <x:v>M – Marketplace</x:v>
      </x:c>
    </x:row>
    <x:row r="88" ht="36" customHeight="1">
      <x:c r="A88" s="8" t="str">
        <x:v>Lester</x:v>
      </x:c>
      <x:c r="B88" s="8" t="str">
        <x:v>Risk Record - Nature of Risk.docx</x:v>
      </x:c>
      <x:c r="C88" s="8" t="str">
        <x:v>Paragraph 56</x:v>
      </x:c>
      <x:c r="D88" s="8" t="str">
        <x:v>Revenue and ROI</x:v>
      </x:c>
    </x:row>
    <x:row r="89" ht="57" customHeight="1">
      <x:c r="A89" s="5" t="str">
        <x:v>Lester</x:v>
      </x:c>
      <x:c r="B89" s="5" t="str">
        <x:v>Risk Record - Nature of Risk.docx</x:v>
      </x:c>
      <x:c r="C89" s="5" t="str">
        <x:v>Paragraph 57</x:v>
      </x:c>
      <x:c r="D89" s="5" t="str">
        <x:v>M1-E-01: Pandemic will likely place financial pressures on individual customers. Customers may look for a cheaper premium option or terminate purchasing premium altogether. Travel restriction and social distancing will reduce customer demand on travel and car insurance. </x:v>
      </x:c>
    </x:row>
    <x:row r="90" ht="72" customHeight="1">
      <x:c r="A90" s="8" t="str">
        <x:v>Lester</x:v>
      </x:c>
      <x:c r="B90" s="8" t="str">
        <x:v>Risk Record - Nature of Risk.docx</x:v>
      </x:c>
      <x:c r="C90" s="8" t="str">
        <x:v>Paragraph 58</x:v>
      </x:c>
      <x:c r="D90" s="8" t="str">
        <x:v>M1-E-02: Similar to the previous risk, small business clients may also face financial difficulties, even temporary closure, and won’t be able to keep purchasing premiums. This could lead to premium deferrals, coverage reductions or cancellation. ITrustU may be forced to offer premium reductions to help customers cope with these difficulties, keeping the customer base at a loss of revenue. </x:v>
      </x:c>
    </x:row>
    <x:row r="91" ht="72" customHeight="1">
      <x:c r="A91" s="5" t="str">
        <x:v>Lester</x:v>
      </x:c>
      <x:c r="B91" s="5" t="str">
        <x:v>Risk Record - Nature of Risk.docx</x:v>
      </x:c>
      <x:c r="C91" s="5" t="str">
        <x:v>Paragraph 59</x:v>
      </x:c>
      <x:c r="D91" s="5" t="str">
        <x:v>M1-E-03: As a result of travel aboard limitations in place of pandemic, travel insurance demand will likely drop. People are less likely to go outside due to isolation policies, therefore there are less cars on road and less traffic accidents. Two auto insurance giants (Allsate and American Family Insurance) returned a total of $800 million in premiums to customers in 2020 (Thorbecke, 2020).</x:v>
      </x:c>
    </x:row>
    <x:row r="92" ht="36" customHeight="1">
      <x:c r="A92" s="8" t="str">
        <x:v>Lester</x:v>
      </x:c>
      <x:c r="B92" s="8" t="str">
        <x:v>Risk Record - Nature of Risk.docx</x:v>
      </x:c>
      <x:c r="C92" s="8" t="str">
        <x:v>Paragraph 60</x:v>
      </x:c>
      <x:c r="D92" s="8" t="str">
        <x:v>Competition</x:v>
      </x:c>
    </x:row>
    <x:row r="93" ht="57" customHeight="1">
      <x:c r="A93" s="5" t="str">
        <x:v>Lester</x:v>
      </x:c>
      <x:c r="B93" s="5" t="str">
        <x:v>Risk Record - Nature of Risk.docx</x:v>
      </x:c>
      <x:c r="C93" s="5" t="str">
        <x:v>Paragraph 61</x:v>
      </x:c>
      <x:c r="D93" s="5" t="str">
        <x:v>M2-E-01: Other insurance companies may reduce their premium price to steal our customer base. As customer demand changes during pandemic, companies will take advantage of it and develop new premium plans that seem more cost-effective and appealing to customers. </x:v>
      </x:c>
    </x:row>
    <x:row r="94" ht="36" customHeight="1">
      <x:c r="A94" s="8" t="str">
        <x:v>Lester</x:v>
      </x:c>
      <x:c r="B94" s="8" t="str">
        <x:v>Risk Record - Nature of Risk.docx</x:v>
      </x:c>
      <x:c r="C94" s="8" t="str">
        <x:v>Paragraph 62</x:v>
      </x:c>
      <x:c r="D94" s="8" t="str">
        <x:v>Economic Landscape</x:v>
      </x:c>
    </x:row>
    <x:row r="95" ht="42" customHeight="1">
      <x:c r="A95" s="5" t="str">
        <x:v>Lester</x:v>
      </x:c>
      <x:c r="B95" s="5" t="str">
        <x:v>Risk Record - Nature of Risk.docx</x:v>
      </x:c>
      <x:c r="C95" s="5" t="str">
        <x:v>Paragraph 63</x:v>
      </x:c>
      <x:c r="D95" s="5" t="str">
        <x:v>M3-E-01: ITrustU invests in Canadian socks and bonds, real estate holdings and precious metals. Market volatility and low interest rates may reduce these asset values, resulting in a lower income gain from investment. </x:v>
      </x:c>
    </x:row>
    <x:row r="96" ht="57" customHeight="1">
      <x:c r="A96" s="8" t="str">
        <x:v>Lester</x:v>
      </x:c>
      <x:c r="B96" s="8" t="str">
        <x:v>Risk Record - Nature of Risk.docx</x:v>
      </x:c>
      <x:c r="C96" s="8" t="str">
        <x:v>Paragraph 64</x:v>
      </x:c>
      <x:c r="D96" s="8" t="str">
        <x:v>M3-E-02: Tiva may suffer different economic pressures across the globe; it will be challenging for Tiva to manage and likely to be weakened. This could potentially affect how much support we can expect from Tiva, although it’s still unclear if Tiva will be reliable. </x:v>
      </x:c>
    </x:row>
    <x:row r="97" ht="42" customHeight="1">
      <x:c r="A97" s="5" t="str">
        <x:v>Lester</x:v>
      </x:c>
      <x:c r="B97" s="5" t="str">
        <x:v>Risk Record - Nature of Risk.docx</x:v>
      </x:c>
      <x:c r="C97" s="5" t="str">
        <x:v>Paragraph 65</x:v>
      </x:c>
      <x:c r="D97" s="5" t="str">
        <x:v>M3-E-03: Government will face a surge in businesses applying for assistance, overwhelm processing staff therefore delaying its support to us. Technical issues and new program rules may also contribute to this risk. </x:v>
      </x:c>
    </x:row>
    <x:row r="98" ht="36" customHeight="1">
      <x:c r="A98" s="8" t="str">
        <x:v>Lester</x:v>
      </x:c>
      <x:c r="B98" s="8" t="str">
        <x:v>Risk Record - Nature of Risk.docx</x:v>
      </x:c>
      <x:c r="C98" s="8" t="str">
        <x:v>Paragraph 66</x:v>
      </x:c>
      <x:c r="D98" s="8" t="str">
        <x:v>Logistics and Supply Chain</x:v>
      </x:c>
    </x:row>
    <x:row r="99" ht="57" customHeight="1">
      <x:c r="A99" s="5" t="str">
        <x:v>Lester</x:v>
      </x:c>
      <x:c r="B99" s="5" t="str">
        <x:v>Risk Record - Nature of Risk.docx</x:v>
      </x:c>
      <x:c r="C99" s="5" t="str">
        <x:v>Paragraph 67</x:v>
      </x:c>
      <x:c r="D99" s="5" t="str">
        <x:v>M4-S-01: Some of our products like home\condo\renter insurance, motorcycle\RVs insurance, and car insurance depend on external service providers and the availability of materials and labor needed to settle claims. Pandemic disruption may therefore affect both our operating capacity and claims costs.</x:v>
      </x:c>
    </x:row>
    <x:row r="100" ht="36" customHeight="1">
      <x:c r="A100" s="8" t="str">
        <x:v>Lester</x:v>
      </x:c>
      <x:c r="B100" s="8" t="str">
        <x:v>Risk Record - Nature of Risk.docx</x:v>
      </x:c>
      <x:c r="C100" s="8" t="str">
        <x:v>Paragraph 68</x:v>
      </x:c>
      <x:c r="D100" s="8" t="str">
        <x:v>Technology</x:v>
      </x:c>
    </x:row>
    <x:row r="101" ht="42" customHeight="1">
      <x:c r="A101" s="5" t="str">
        <x:v>Lester</x:v>
      </x:c>
      <x:c r="B101" s="5" t="str">
        <x:v>Risk Record - Nature of Risk.docx</x:v>
      </x:c>
      <x:c r="C101" s="5" t="str">
        <x:v>Paragraph 69</x:v>
      </x:c>
      <x:c r="D101" s="5" t="str">
        <x:v>M5: Our ability to keep up with the surge in online demand depends on 3rd party service providers, our remote work plan, staff management, and maintenance of company servers. </x:v>
      </x:c>
    </x:row>
    <x:row r="102" ht="36" customHeight="1">
      <x:c r="A102" s="8" t="str">
        <x:v>Lester</x:v>
      </x:c>
      <x:c r="B102" s="8" t="str">
        <x:v>Risk Record - Nature of Risk.docx</x:v>
      </x:c>
      <x:c r="C102" s="8" t="str">
        <x:v>Paragraph 81</x:v>
      </x:c>
      <x:c r="D102" s="8" t="str">
        <x:v>References:</x:v>
      </x:c>
    </x:row>
    <x:row r="103" ht="36" customHeight="1">
      <x:c r="A103" s="5" t="str">
        <x:v>Lester</x:v>
      </x:c>
      <x:c r="B103" s="5" t="str">
        <x:v>Risk Record - Nature of Risk.docx</x:v>
      </x:c>
      <x:c r="C103" s="5" t="str">
        <x:v>Paragraph 82</x:v>
      </x:c>
      <x:c r="D103" s="5" t="str">
        <x:v>MSN. (n.d.). https://www.msn.com/en-us/news/other/florida-man-pleads-guilty-in-500000000-covid-test-fraud-scheme/ar-AA2dzqlt</x:v>
      </x:c>
    </x:row>
    <x:row r="104" ht="42" customHeight="1">
      <x:c r="A104" s="8" t="str">
        <x:v>Lester</x:v>
      </x:c>
      <x:c r="B104" s="8" t="str">
        <x:v>Risk Record - Nature of Risk.docx</x:v>
      </x:c>
      <x:c r="C104" s="8" t="str">
        <x:v>Paragraph 83</x:v>
      </x:c>
      <x:c r="D104" s="8" t="str">
        <x:v>Reinsurers react to the impact of the pandemic | Lockton. (2024, November 25). Lockton. https://global.lockton.com/news-insights/the-pandemic-starts-shaking-up-the-reinsurance-market</x:v>
      </x:c>
    </x:row>
    <x:row r="105" ht="42" customHeight="1">
      <x:c r="A105" s="5" t="str">
        <x:v>Lester</x:v>
      </x:c>
      <x:c r="B105" s="5" t="str">
        <x:v>Risk Record - Nature of Risk.docx</x:v>
      </x:c>
      <x:c r="C105" s="5" t="str">
        <x:v>Paragraph 84</x:v>
      </x:c>
      <x:c r="D105" s="5" t="str">
        <x:v>Fontaine, J.-S., &amp; Walton, A. (2020, July 3). COVID-19 and bond market liquidity: Alert, isolation and recovery (Nos. 2020–14). Bank of Canada. https://doi.org/10.34989/san-2020-14</x:v>
      </x:c>
    </x:row>
    <x:row r="106" ht="42" customHeight="1">
      <x:c r="A106" s="8" t="str">
        <x:v>Lester</x:v>
      </x:c>
      <x:c r="B106" s="8" t="str">
        <x:v>Risk Record - Nature of Risk.docx</x:v>
      </x:c>
      <x:c r="C106" s="8" t="str">
        <x:v>Paragraph 85</x:v>
      </x:c>
      <x:c r="D106" s="8" t="str">
        <x:v>Severe weather-related insured losses in Canada exceed $2.4 billion in 2025. (n.d.). Retrieved October 16, 2026, from https://www.ibc.ca/news-insights/news/severe-weather-related-insured-losses-in-canada-exceed-2-4-billion-in-2025</x:v>
      </x:c>
    </x:row>
    <x:row r="107" ht="42" customHeight="1">
      <x:c r="A107" s="5" t="str">
        <x:v>Lester</x:v>
      </x:c>
      <x:c r="B107" s="5" t="str">
        <x:v>Risk Record - Nature of Risk.docx</x:v>
      </x:c>
      <x:c r="C107" s="5" t="str">
        <x:v>Paragraph 86</x:v>
      </x:c>
      <x:c r="D107" s="5" t="str">
        <x:v>Bouw, B. (2020, April 3). Companies boosting mental health supports for employees amid coronavirus pandemic. The Globe and Mail. https://www.theglobeandmail.com/business/careers/article-companies-boosting-mental-health-supports-for-employees-amid/</x:v>
      </x:c>
    </x:row>
    <x:row r="108" ht="42" customHeight="1">
      <x:c r="A108" s="8" t="str">
        <x:v>Lester</x:v>
      </x:c>
      <x:c r="B108" s="8" t="str">
        <x:v>Risk Record - Nature of Risk.docx</x:v>
      </x:c>
      <x:c r="C108" s="8" t="str">
        <x:v>Paragraph 87</x:v>
      </x:c>
      <x:c r="D108" s="8" t="str">
        <x:v>Thorbecke, C. (2020, April 7). Auto insurance companies returning $800M in premiums during COVID-19. Yahoo Finance. https://finance.yahoo.com/news/auto-insurance-companies-returning-800m-premiums-during-covid-150206387.html</x:v>
      </x:c>
    </x:row>
    <x:row r="109" ht="36" customHeight="1">
      <x:c r="A109" s="5" t="str">
        <x:v>Urman</x:v>
      </x:c>
      <x:c r="B109" s="5" t="str">
        <x:v>Risk_Record_Potential_Impact.docx</x:v>
      </x:c>
      <x:c r="C109" s="5" t="str">
        <x:v>Paragraph 1</x:v>
      </x:c>
      <x:c r="D109" s="5" t="str">
        <x:v>Risk Record — Potential Impact</x:v>
      </x:c>
    </x:row>
    <x:row r="110" ht="57" customHeight="1">
      <x:c r="A110" s="8" t="str">
        <x:v>Urman</x:v>
      </x:c>
      <x:c r="B110" s="8" t="str">
        <x:v>Risk_Record_Potential_Impact.docx</x:v>
      </x:c>
      <x:c r="C110" s="8" t="str">
        <x:v>Paragraph 2</x:v>
      </x:c>
      <x:c r="D110" s="8" t="str">
        <x:v>This section completes note 3 of the risk record for all 44 identified risks. For each risk it analyses the potential impact across finances, infrastructure, reputation and marketplace, states the likelihood and magnitude, and identifies the objective or key dependency at stake.</x:v>
      </x:c>
    </x:row>
    <x:row r="111" ht="72" customHeight="1">
      <x:c r="A111" s="5" t="str">
        <x:v>Urman</x:v>
      </x:c>
      <x:c r="B111" s="5" t="str">
        <x:v>Risk_Record_Potential_Impact.docx</x:v>
      </x:c>
      <x:c r="C111" s="5" t="str">
        <x:v>Paragraph 3</x:v>
      </x:c>
      <x:c r="D111" s="5" t="str">
        <x:v>Scoring follows the method set out in our Risk Protocols. Likelihood (L) and magnitude (M) are each scored 1 to 5 and multiplied to give a rating out of 25. Impact is recorded against the FIRM area most affected, with cross-effects noted, because our largest exposures interact rather than occur in isolation. Key dependencies are drawn from our stated list: people, premises, information, technology and suppliers.</x:v>
      </x:c>
    </x:row>
    <x:row r="112" ht="42" customHeight="1">
      <x:c r="A112" s="8" t="str">
        <x:v>Urman</x:v>
      </x:c>
      <x:c r="B112" s="8" t="str">
        <x:v>Risk_Record_Potential_Impact.docx</x:v>
      </x:c>
      <x:c r="C112" s="8" t="str">
        <x:v>Paragraph 4</x:v>
      </x:c>
      <x:c r="D112" s="8" t="str">
        <x:v>The ratings below are inherent — the risk before existing controls are taken into account. Residual ratings follow from the Existing Controls section of the record.</x:v>
      </x:c>
    </x:row>
    <x:row r="113" ht="36" customHeight="1">
      <x:c r="A113" s="5" t="str">
        <x:v>Urman</x:v>
      </x:c>
      <x:c r="B113" s="5" t="str">
        <x:v>Risk_Record_Potential_Impact.docx</x:v>
      </x:c>
      <x:c r="C113" s="5" t="str">
        <x:v>Paragraph 5</x:v>
      </x:c>
      <x:c r="D113" s="5" t="str">
        <x:v>Scoring key</x:v>
      </x:c>
    </x:row>
    <x:row r="114" ht="36" customHeight="1">
      <x:c r="A114" s="8" t="str">
        <x:v>Urman</x:v>
      </x:c>
      <x:c r="B114" s="8" t="str">
        <x:v>Risk_Record_Potential_Impact.docx</x:v>
      </x:c>
      <x:c r="C114" s="8" t="str">
        <x:v>Paragraph 6</x:v>
      </x:c>
      <x:c r="D114" s="8" t="str">
        <x:v>F — Financial</x:v>
      </x:c>
    </x:row>
    <x:row r="115" ht="36" customHeight="1">
      <x:c r="A115" s="5" t="str">
        <x:v>Urman</x:v>
      </x:c>
      <x:c r="B115" s="5" t="str">
        <x:v>Risk_Record_Potential_Impact.docx</x:v>
      </x:c>
      <x:c r="C115" s="5" t="str">
        <x:v>Paragraph 7</x:v>
      </x:c>
      <x:c r="D115" s="5" t="str">
        <x:v>I — Infrastructure</x:v>
      </x:c>
    </x:row>
    <x:row r="116" ht="36" customHeight="1">
      <x:c r="A116" s="8" t="str">
        <x:v>Urman</x:v>
      </x:c>
      <x:c r="B116" s="8" t="str">
        <x:v>Risk_Record_Potential_Impact.docx</x:v>
      </x:c>
      <x:c r="C116" s="8" t="str">
        <x:v>Paragraph 8</x:v>
      </x:c>
      <x:c r="D116" s="8" t="str">
        <x:v>R — Reputation</x:v>
      </x:c>
    </x:row>
    <x:row r="117" ht="36" customHeight="1">
      <x:c r="A117" s="5" t="str">
        <x:v>Urman</x:v>
      </x:c>
      <x:c r="B117" s="5" t="str">
        <x:v>Risk_Record_Potential_Impact.docx</x:v>
      </x:c>
      <x:c r="C117" s="5" t="str">
        <x:v>Paragraph 9</x:v>
      </x:c>
      <x:c r="D117" s="5" t="str">
        <x:v>M — Marketplace</x:v>
      </x:c>
    </x:row>
    <x:row r="118" ht="36" customHeight="1">
      <x:c r="A118" s="8" t="str">
        <x:v>Urman</x:v>
      </x:c>
      <x:c r="B118" s="8" t="str">
        <x:v>Risk_Record_Potential_Impact.docx</x:v>
      </x:c>
      <x:c r="C118" s="8" t="str">
        <x:v>Paragraph 10</x:v>
      </x:c>
      <x:c r="D118" s="8" t="str">
        <x:v>Summary of the inherent risk profile</x:v>
      </x:c>
    </x:row>
    <x:row r="119" ht="87" customHeight="1">
      <x:c r="A119" s="5" t="str">
        <x:v>Urman</x:v>
      </x:c>
      <x:c r="B119" s="5" t="str">
        <x:v>Risk_Record_Potential_Impact.docx</x:v>
      </x:c>
      <x:c r="C119" s="5" t="str">
        <x:v>Paragraph 11</x:v>
      </x:c>
      <x:c r="D119" s="5" t="str">
        <x:v>Of 44 risks assessed, 11 rate Extreme, 24 High and 9 Moderate. The Extreme ratings cluster in Infrastructure, which is consistent with the Riskiness Index finding that IT resilience carries our highest individual risk score. Four of them — no remote-work plan (R-014), insufficient equipment (R-018), inadequate remote-access safeguards (R-020) and no disaster recovery procedure for remote work (R-027) — are preconditions rather than events: they raise the magnitude of most other risks in the register and should be treated first.</x:v>
      </x:c>
    </x:row>
    <x:row r="120" ht="42" customHeight="1">
      <x:c r="A120" s="8" t="str">
        <x:v>Urman</x:v>
      </x:c>
      <x:c r="B120" s="8" t="str">
        <x:v>Risk_Record_Potential_Impact.docx</x:v>
      </x:c>
      <x:c r="C120" s="8" t="str">
        <x:v>Paragraph 12</x:v>
      </x:c>
      <x:c r="D120" s="8" t="str">
        <x:v>The Marketplace Extremes (R-039, R-041) and the interest rate exposure (R-012) are near-certain rather than possible, and are scored on that basis. They are largely outside our control, which means the response is financial resilience rather than prevention.</x:v>
      </x:c>
    </x:row>
    <x:row r="121" ht="36" customHeight="1">
      <x:c r="A121" s="5" t="str">
        <x:v>Sam</x:v>
      </x:c>
      <x:c r="B121" s="5" t="str">
        <x:v>Existing Controls.docx</x:v>
      </x:c>
      <x:c r="C121" s="5" t="str">
        <x:v>Paragraph 1</x:v>
      </x:c>
      <x:c r="D121" s="5" t="str">
        <x:v>Existing Controls</x:v>
      </x:c>
    </x:row>
    <x:row r="122" ht="36" customHeight="1">
      <x:c r="A122" s="8" t="str">
        <x:v>Sam</x:v>
      </x:c>
      <x:c r="B122" s="8" t="str">
        <x:v>Existing Controls.docx</x:v>
      </x:c>
      <x:c r="C122" s="8" t="str">
        <x:v>Paragraph 2</x:v>
      </x:c>
      <x:c r="D122" s="8" t="str">
        <x:v>Introduction</x:v>
      </x:c>
    </x:row>
    <x:row r="123" ht="87" customHeight="1">
      <x:c r="A123" s="5" t="str">
        <x:v>Sam</x:v>
      </x:c>
      <x:c r="B123" s="5" t="str">
        <x:v>Existing Controls.docx</x:v>
      </x:c>
      <x:c r="C123" s="5" t="str">
        <x:v>Paragraph 3</x:v>
      </x:c>
      <x:c r="D123" s="5" t="str">
        <x:v>ITrustU is a operating company and has already considered risk mitigation plans for their operations to stay compliant and immune against threats towards the business continuity. As an insurance company providing products and services across different product segments, it is crucial to understand the company’s risk mitigation status and compare it with the risk management plan to focus on the areas of improvement. This document provides an explanation for all the risk mitigation placed within the company and where the company lacks proper planning and preparation.</x:v>
      </x:c>
    </x:row>
    <x:row r="124" ht="36" customHeight="1">
      <x:c r="A124" s="8" t="str">
        <x:v>Sam</x:v>
      </x:c>
      <x:c r="B124" s="8" t="str">
        <x:v>Existing Controls.docx</x:v>
      </x:c>
      <x:c r="C124" s="8" t="str">
        <x:v>Paragraph 4</x:v>
      </x:c>
      <x:c r="D124" s="8" t="str">
        <x:v>Financial Risk</x:v>
      </x:c>
    </x:row>
    <x:row r="125" ht="132" customHeight="1">
      <x:c r="A125" s="5" t="str">
        <x:v>Sam</x:v>
      </x:c>
      <x:c r="B125" s="5" t="str">
        <x:v>Existing Controls.docx</x:v>
      </x:c>
      <x:c r="C125" s="5" t="str">
        <x:v>Paragraph 5</x:v>
      </x:c>
      <x:c r="D125" s="5" t="str">
        <x:v>ITrustU is operating in Mississauga, Ontario and as a result it should comply with the all the regulations applied on financial and insurance companies to avoid risks related to facing fines and compliance issues. As a result, company ensures their operational workload is tracked and documented properly for all employees to align with the company’s governance plan and prepare documents for audits and make sure employees’ works are aligned with company procedures. All the documents processed by employees should be organized and archived to have a proper inventory of documents with a clear working trail recognizable by internal or external audit teams. This enables the detective control for the company. This supports the compliance with FSRA, FINTRAC by providing the regulators with record keeping documents and providing them proper evidence (Financial Services Regulatory Authority of Ontario [FSRA], n.d.; Financial Transactions and Reports Analysis Centre of Canada [FINTRAC], n.d.).</x:v>
      </x:c>
    </x:row>
    <x:row r="126" ht="72" customHeight="1">
      <x:c r="A126" s="8" t="str">
        <x:v>Sam</x:v>
      </x:c>
      <x:c r="B126" s="8" t="str">
        <x:v>Existing Controls.docx</x:v>
      </x:c>
      <x:c r="C126" s="8" t="str">
        <x:v>Paragraph 6</x:v>
      </x:c>
      <x:c r="D126" s="8" t="str">
        <x:v>Also, the company has prepared its financial modeling document to have a basic understanding of the company’s financial standing and their predictions toward the next quarters to manage their available funds and plan for the predicted financial situation of the company. This ensures company has allocated necessary funds for the business continuity and client claims. However, the financial plan should account for possible scenarios and provide a what-if analysis for the company’s funds.</x:v>
      </x:c>
    </x:row>
    <x:row r="127" ht="36" customHeight="1">
      <x:c r="A127" s="5" t="str">
        <x:v>Sam</x:v>
      </x:c>
      <x:c r="B127" s="5" t="str">
        <x:v>Existing Controls.docx</x:v>
      </x:c>
      <x:c r="C127" s="5" t="str">
        <x:v>Paragraph 7</x:v>
      </x:c>
      <x:c r="D127" s="5" t="str">
        <x:v>Infrastructure Risk</x:v>
      </x:c>
    </x:row>
    <x:row r="128" ht="72" customHeight="1">
      <x:c r="A128" s="8" t="str">
        <x:v>Sam</x:v>
      </x:c>
      <x:c r="B128" s="8" t="str">
        <x:v>Existing Controls.docx</x:v>
      </x:c>
      <x:c r="C128" s="8" t="str">
        <x:v>Paragraph 8</x:v>
      </x:c>
      <x:c r="D128" s="8" t="str">
        <x:v>ITrustU mainly operates with on-site equipment for their employees to perform theirs tasks and access the company resources. These equipment have had set against the firewalls to prevent cyber attacks and unauthorized access to the company resources to comply with Government of Ontario IT standards. Company resources should remain safe and secure against the cyberattacks of the hackers to prevent penetration of attackers to their system and prevent exposing internal and client confidential information to attackers.</x:v>
      </x:c>
    </x:row>
    <x:row r="129" ht="57" customHeight="1">
      <x:c r="A129" s="5" t="str">
        <x:v>Sam</x:v>
      </x:c>
      <x:c r="B129" s="5" t="str">
        <x:v>Existing Controls.docx</x:v>
      </x:c>
      <x:c r="C129" s="5" t="str">
        <x:v>Paragraph 9</x:v>
      </x:c>
      <x:c r="D129" s="5" t="str">
        <x:v>Employee emails are tracked and scanned for potential threats against company and any phishing attempt are identified to avoid the risks of communicating confidential information with an external party or accepting malicious files and document from stakeholders containing harmful content for the company resources.</x:v>
      </x:c>
    </x:row>
    <x:row r="130" ht="72" customHeight="1">
      <x:c r="A130" s="8" t="str">
        <x:v>Sam</x:v>
      </x:c>
      <x:c r="B130" s="8" t="str">
        <x:v>Existing Controls.docx</x:v>
      </x:c>
      <x:c r="C130" s="8" t="str">
        <x:v>Paragraph 10</x:v>
      </x:c>
      <x:c r="D130" s="8" t="str">
        <x:v>In addition to this, ITrustU is planned for minimum-privilege access control levels for their employees to grant as minimum access as required for the employees to avoid exposing client PII and confidential information. Employees can only interact with documents and the company data only if they have enough permission and access to the environment. The access control helps the company against the applicable Canada privacy act and PIPEDA. (Government of Canada, 2000)</x:v>
      </x:c>
    </x:row>
    <x:row r="131" ht="36" customHeight="1">
      <x:c r="A131" s="5" t="str">
        <x:v>Sam</x:v>
      </x:c>
      <x:c r="B131" s="5" t="str">
        <x:v>Existing Controls.docx</x:v>
      </x:c>
      <x:c r="C131" s="5" t="str">
        <x:v>Paragraph 12</x:v>
      </x:c>
      <x:c r="D131" s="5" t="str">
        <x:v>Reputation Risk</x:v>
      </x:c>
    </x:row>
    <x:row r="132" ht="72" customHeight="1">
      <x:c r="A132" s="8" t="str">
        <x:v>Sam</x:v>
      </x:c>
      <x:c r="B132" s="8" t="str">
        <x:v>Existing Controls.docx</x:v>
      </x:c>
      <x:c r="C132" s="8" t="str">
        <x:v>Paragraph 13</x:v>
      </x:c>
      <x:c r="D132" s="8" t="str">
        <x:v>One of the risks associated with the businesses is the risk associated with the digital presence of the company in social media where millions of people and clients are interacting with the contents related to the company’s activities. ITrustU has planned for their social media crisis and has prepared contents and templates to communicate with clients to protect the company’s reputation against potential threats.</x:v>
      </x:c>
    </x:row>
    <x:row r="133" ht="57" customHeight="1">
      <x:c r="A133" s="5" t="str">
        <x:v>Sam</x:v>
      </x:c>
      <x:c r="B133" s="5" t="str">
        <x:v>Existing Controls.docx</x:v>
      </x:c>
      <x:c r="C133" s="5" t="str">
        <x:v>Paragraph 14</x:v>
      </x:c>
      <x:c r="D133" s="5" t="str">
        <x:v>Also, the company has access to available lawyers who are aware of the company’s operation and its contract documents to be prepared against laws and potential law cases against the company. Company lawyers actively support its reputation by avoiding the publishment of the contract details and law case detail to social media and news.</x:v>
      </x:c>
    </x:row>
    <x:row r="134" ht="36" customHeight="1">
      <x:c r="A134" s="8" t="str">
        <x:v>Sam</x:v>
      </x:c>
      <x:c r="B134" s="8" t="str">
        <x:v>Existing Controls.docx</x:v>
      </x:c>
      <x:c r="C134" s="8" t="str">
        <x:v>Paragraph 15</x:v>
      </x:c>
      <x:c r="D134" s="8" t="str">
        <x:v>Market Risk</x:v>
      </x:c>
    </x:row>
    <x:row r="135" ht="72" customHeight="1">
      <x:c r="A135" s="5" t="str">
        <x:v>Sam</x:v>
      </x:c>
      <x:c r="B135" s="5" t="str">
        <x:v>Existing Controls.docx</x:v>
      </x:c>
      <x:c r="C135" s="5" t="str">
        <x:v>Paragraph 16</x:v>
      </x:c>
      <x:c r="D135" s="5" t="str">
        <x:v>Providing multiple products and services to clients in Ontario, increases the market risk as the company ensures the product status and the customer service for the products. As a result of the known risk for the company, ITrustU has considered funds in their financial plans in case of emergency as if they faced an issue in one of their products and services they can provide incentives as a customer service for their clients to reduce the customer churn rate.</x:v>
      </x:c>
    </x:row>
    <x:row r="136" ht="42" customHeight="1">
      <x:c r="A136" s="8" t="str">
        <x:v>Sam</x:v>
      </x:c>
      <x:c r="B136" s="8" t="str">
        <x:v>Existing Controls.docx</x:v>
      </x:c>
      <x:c r="C136" s="8" t="str">
        <x:v>Paragraph 17</x:v>
      </x:c>
      <x:c r="D136" s="8" t="str">
        <x:v>Also, company is invested in continuous market research to ensure the company’s product is meeting their customer needs and to stay in the competition against their competitors. This prepares the company against revenue and competition risks.</x:v>
      </x:c>
    </x:row>
    <x:row r="137" ht="36" customHeight="1">
      <x:c r="A137" s="5" t="str">
        <x:v>Sam</x:v>
      </x:c>
      <x:c r="B137" s="5" t="str">
        <x:v>Existing Controls.docx</x:v>
      </x:c>
      <x:c r="C137" s="5" t="str">
        <x:v>Paragraph 25</x:v>
      </x:c>
      <x:c r="D137" s="5" t="str">
        <x:v>Risk Gaps</x:v>
      </x:c>
    </x:row>
    <x:row r="138" ht="36" customHeight="1">
      <x:c r="A138" s="8" t="str">
        <x:v>Sam</x:v>
      </x:c>
      <x:c r="B138" s="8" t="str">
        <x:v>Existing Controls.docx</x:v>
      </x:c>
      <x:c r="C138" s="8" t="str">
        <x:v>Paragraph 28</x:v>
      </x:c>
      <x:c r="D138" s="8" t="str">
        <x:v>Required Standard Against Achieved Standard</x:v>
      </x:c>
    </x:row>
    <x:row r="139" ht="87" customHeight="1">
      <x:c r="A139" s="5" t="str">
        <x:v>Sam</x:v>
      </x:c>
      <x:c r="B139" s="5" t="str">
        <x:v>Existing Controls.docx</x:v>
      </x:c>
      <x:c r="C139" s="5" t="str">
        <x:v>Paragraph 29</x:v>
      </x:c>
      <x:c r="D139" s="5" t="str">
        <x:v>The risk management plan sets the level of control ITrustU needs. Its risk appetite calls for a low tolerance for confidential data leaks and for gaps in essential roles, and it requires financial risk to stay within the company’s ability to absorb losses while continuing to pay claims. Regulators expect similar standards. PIPEDA requires safeguards proportionate to the sensitivity of personal information, including reporting of breaches (Government of Canada, 2000), while FSRA and FINTRAC expect reliable records and evidence of compliance (FINTRAC, n.d.; FSRA, n.d.).</x:v>
      </x:c>
    </x:row>
    <x:row r="140" ht="102" customHeight="1">
      <x:c r="A140" s="8" t="str">
        <x:v>Sam</x:v>
      </x:c>
      <x:c r="B140" s="8" t="str">
        <x:v>Existing Controls.docx</x:v>
      </x:c>
      <x:c r="C140" s="8" t="str">
        <x:v>Paragraph 30</x:v>
      </x:c>
      <x:c r="D140" s="8" t="str">
        <x:v>Compared with this, the existing controls achieve a basic level of protection. Of the 16 risks in the Riskiness Index, 11 are partially covered, 5 have no existing control (2.1, 2.4, 3.2, 4.3, and 4.4), and none is fully covered. Most controls are detective or reactive. The audit trail records what happened after the fact, and the incentive fund responds after a service failure. IT resilience, the highest-rated risk at 5 out of 5, is covered only by preventive basics (firewalls, email scanning, and minimum-privilege access). It lacks the safeguards the plan itself identifies as needed for remote work, such as a VPN, multi-factor authentication, data loss prevention, and tested recovery.</x:v>
      </x:c>
    </x:row>
    <x:row r="141" ht="42" customHeight="1">
      <x:c r="A141" s="5" t="str">
        <x:v>Sam</x:v>
      </x:c>
      <x:c r="B141" s="5" t="str">
        <x:v>Existing Controls.docx</x:v>
      </x:c>
      <x:c r="C141" s="5" t="str">
        <x:v>Paragraph 31</x:v>
      </x:c>
      <x:c r="D141" s="5" t="str">
        <x:v>Overall, ITrustU has a reasonable foundation but falls short of the required standard, with the largest shortfalls in IT resilience, reserves, people, and supplier continuity.</x:v>
      </x:c>
    </x:row>
    <x:row r="142" ht="36" customHeight="1">
      <x:c r="A142" s="8" t="str">
        <x:v>Sam</x:v>
      </x:c>
      <x:c r="B142" s="8" t="str">
        <x:v>Existing Controls.docx</x:v>
      </x:c>
      <x:c r="C142" s="8" t="str">
        <x:v>Paragraph 33</x:v>
      </x:c>
      <x:c r="D142" s="8" t="str">
        <x:v>References</x:v>
      </x:c>
    </x:row>
    <x:row r="143" ht="36" customHeight="1">
      <x:c r="A143" s="5" t="str">
        <x:v>Sam</x:v>
      </x:c>
      <x:c r="B143" s="5" t="str">
        <x:v>Existing Controls.docx</x:v>
      </x:c>
      <x:c r="C143" s="5" t="str">
        <x:v>Paragraph 34</x:v>
      </x:c>
      <x:c r="D143" s="5" t="str">
        <x:v>Financial Services Regulatory Authority of Ontario. (n.d.). Home. https://www.fsrao.ca/</x:v>
      </x:c>
    </x:row>
    <x:row r="144" ht="36" customHeight="1">
      <x:c r="A144" s="8" t="str">
        <x:v>Sam</x:v>
      </x:c>
      <x:c r="B144" s="8" t="str">
        <x:v>Existing Controls.docx</x:v>
      </x:c>
      <x:c r="C144" s="8" t="str">
        <x:v>Paragraph 35</x:v>
      </x:c>
      <x:c r="D144" s="8" t="str">
        <x:v>Financial Transactions and Reports Analysis Centre of Canada. (n.d.). Home. https://fintrac-canafe.canada.ca/</x:v>
      </x:c>
    </x:row>
    <x:row r="145" ht="42" customHeight="1">
      <x:c r="A145" s="5" t="str">
        <x:v>Sam</x:v>
      </x:c>
      <x:c r="B145" s="5" t="str">
        <x:v>Existing Controls.docx</x:v>
      </x:c>
      <x:c r="C145" s="5" t="str">
        <x:v>Paragraph 36</x:v>
      </x:c>
      <x:c r="D145" s="5" t="str">
        <x:v>Government of Canada. (2000). Personal Information Protection and Electronic Documents Act (S.C. 2000, c. 5). https://laws-lois.justice.gc.ca/eng/acts/p-8.6/</x:v>
      </x:c>
    </x:row>
    <x:row r="146" ht="110" customHeight="1">
      <x:c r="A146" s="33" t="str">
        <x:v>Professor</x:v>
      </x:c>
      <x:c r="B146" s="33" t="str">
        <x:v>Business outline(1).pdf</x:v>
      </x:c>
      <x:c r="C146" s="33" t="str">
        <x:v>Page 2</x:v>
      </x:c>
      <x:c r="D146" s="33" t="str">
        <x:v>Case confirms insurance for individuals and small businesses, including more than 100 small businesses. The list on page 4 is of main products, not a stated exhaustive product inventory.</x:v>
      </x:c>
    </x:row>
    <x:row r="147" ht="110" customHeight="1">
      <x:c r="A147" s="33" t="str">
        <x:v>Professor</x:v>
      </x:c>
      <x:c r="B147" s="33" t="str">
        <x:v>Business outline(1).pdf</x:v>
      </x:c>
      <x:c r="C147" s="33" t="str">
        <x:v>Pages 3–4</x:v>
      </x:c>
      <x:c r="D147" s="33" t="str">
        <x:v>Existing concerns include cyber threats, loss of IT/telephony/network communications for longer than one day, flood, power loss and snowstorm. Pandemic planning and a crisis leadership team are being developed.</x:v>
      </x:c>
    </x:row>
    <x:row r="148" ht="110" customHeight="1">
      <x:c r="A148" s="33" t="str">
        <x:v>Professor</x:v>
      </x:c>
      <x:c r="B148" s="33" t="str">
        <x:v>Business outline(1).pdf</x:v>
      </x:c>
      <x:c r="C148" s="33" t="str">
        <x:v>Pages 5–6</x:v>
      </x:c>
      <x:c r="D148" s="33" t="str">
        <x:v>Premiums are invested in Canadian stocks, bonds, real estate and precious metals. Customer and supporting processes include claims, premium collection, record keeping, database administration and data backup.</x:v>
      </x:c>
    </x:row>
    <x:row r="149" ht="110" customHeight="1">
      <x:c r="A149" s="33" t="str">
        <x:v>Professor</x:v>
      </x:c>
      <x:c r="B149" s="33" t="str">
        <x:v>Business outline(1).pdf</x:v>
      </x:c>
      <x:c r="C149" s="33" t="str">
        <x:v>Pages 6–8</x:v>
      </x:c>
      <x:c r="D149" s="33" t="str">
        <x:v>Listed providers include ISP, security consultants, cloud server, shredding, printing, mailing and legal services. Technology includes external hosting/cloud backup, on-site servers, 50 desktops and a couple of laptops. Functional manager roles are listed.</x:v>
      </x:c>
    </x:row>
  </x:sheetData>
  <x:pageMargins left="0.7" right="0.7" top="0.75" bottom="0.75" header="0.3" footer="0.3"/>
  <x:tableParts count="1">
    <x:tablePart xmlns:r="http://schemas.openxmlformats.org/officeDocument/2006/relationships" r:id="R1f6700b8a9164aba"/>
  </x:tableParts>
</x:worksheet>
</file>

<file path=xl/worksheets/sheet10.xml><?xml version="1.0" encoding="utf-8"?>
<x:worksheet xmlns:x="http://schemas.openxmlformats.org/spreadsheetml/2006/main">
  <x:sheetPr>
    <x:tabColor rgb="FFB7B7B7"/>
  </x:sheetPr>
  <x:sheetViews>
    <x:sheetView showGridLines="0" workbookViewId="0">
      <x:pane ySplit="5" topLeftCell="A6" activePane="bottomLeft" state="frozen"/>
    </x:sheetView>
  </x:sheetViews>
  <x:sheetFormatPr defaultRowHeight="15"/>
  <x:cols>
    <x:col min="1" max="1" width="25" hidden="0" customWidth="1"/>
    <x:col min="2" max="2" width="125" hidden="0" customWidth="1"/>
  </x:cols>
  <x:sheetData>
    <x:row r="1">
      <x:c r="A1" s="1"/>
      <x:c r="B1" s="1"/>
      <x:c r="C1" s="1"/>
      <x:c r="D1" s="1"/>
      <x:c r="E1" s="1"/>
      <x:c r="F1" s="1"/>
      <x:c r="G1" s="1"/>
      <x:c r="H1" s="1"/>
    </x:row>
    <x:row r="2">
      <x:c r="A2" s="2" t="str">
        <x:v>ReadMe</x:v>
      </x:c>
      <x:c r="B2" s="1"/>
      <x:c r="C2" s="1"/>
      <x:c r="D2" s="1"/>
      <x:c r="E2" s="1"/>
      <x:c r="F2" s="1"/>
      <x:c r="G2" s="1"/>
      <x:c r="H2" s="1"/>
    </x:row>
    <x:row r="3" ht="24" customHeight="1">
      <x:c r="A3" s="1"/>
      <x:c r="B3" s="1"/>
      <x:c r="C3" s="1"/>
      <x:c r="D3" s="1"/>
      <x:c r="E3" s="1"/>
      <x:c r="F3" s="1"/>
      <x:c r="G3" s="1"/>
      <x:c r="H3" s="1"/>
    </x:row>
    <x:row r="5" ht="42" customHeight="1">
      <x:c r="A5" s="7" t="str">
        <x:v>Topic</x:v>
      </x:c>
      <x:c r="B5" s="7" t="str">
        <x:v>Instructions and limitations</x:v>
      </x:c>
    </x:row>
    <x:row r="6" ht="42" customHeight="1">
      <x:c r="A6" s="8" t="str">
        <x:v>Scope</x:v>
      </x:c>
      <x:c r="B6" s="8" t="str">
        <x:v>Part 3 only: one current record per original significant risk. Parts 4 and 5 will supply detailed evaluations and implementation actions.</x:v>
      </x:c>
    </x:row>
    <x:row r="7" ht="85" customHeight="1">
      <x:c r="A7" s="5" t="str">
        <x:v>Status</x:v>
      </x:c>
      <x:c r="B7" s="5" t="str">
        <x:v>Final Part 3 submission. Scenario assessment date: April 1, 2020; event horizon through June 30, 2020. Project decisions D01–D18 are agreed. Provisional assumptions, evidence gaps and proposed owner appointments remain explicit.</x:v>
      </x:c>
    </x:row>
    <x:row r="8" ht="42" customHeight="1">
      <x:c r="A8" s="8" t="str">
        <x:v>Original sources</x:v>
      </x:c>
      <x:c r="B8" s="8" t="str">
        <x:v>Source Records preserves the risk-level wording from Nathan, Lester and Urman. Source Controls preserves Sam’s original 16-item assessment. Source Text retains their paragraphs and references.</x:v>
      </x:c>
    </x:row>
    <x:row r="9" ht="85" customHeight="1">
      <x:c r="A9" s="5" t="str">
        <x:v>Reconciliation</x:v>
      </x:c>
      <x:c r="B9" s="5" t="str">
        <x:v>All 44 original IDs remain. R-024 is consolidated into R-021/R-022/R-025; R-027 into R-025; R-043 into R-037/R-038. These three are excluded from active summaries. No historical ID or code is reused.</x:v>
      </x:c>
    </x:row>
    <x:row r="10" ht="85" customHeight="1">
      <x:c r="A10" s="8" t="str">
        <x:v>Code changes</x:v>
      </x:c>
      <x:c r="B10" s="8" t="str">
        <x:v>D15 approves R-025 as I4-G-02. D17 approves R-042 as I4-S-02 under Infrastructure 2.4. Original codes remain preserved in source and change history; none are reused.</x:v>
      </x:c>
    </x:row>
    <x:row r="11" ht="42" customHeight="1">
      <x:c r="A11" s="5" t="str">
        <x:v>R-045</x:v>
      </x:c>
      <x:c r="B11" s="5" t="str">
        <x:v>The M5 to M2 move, customer-expectations focus and G source are agreed with Chris. The working code is M2-G-01. Scores, controls and tolerability remain subject to review.</x:v>
      </x:c>
    </x:row>
    <x:row r="12" ht="57" customHeight="1">
      <x:c r="A12" s="8" t="str">
        <x:v>Ratings</x:v>
      </x:c>
      <x:c r="B12" s="8" t="str">
        <x:v>Likelihood and magnitude are inherent judgments before credit for controls. Matrix bands come directly from Assessment Guide. Do not multiply scores or sum risks as though independent. Related risks may describe the same underlying incident.</x:v>
      </x:c>
    </x:row>
    <x:row r="13" ht="85" customHeight="1">
      <x:c r="A13" s="5" t="str">
        <x:v>Timeframe</x:v>
      </x:c>
      <x:c r="B13" s="5" t="str">
        <x:v>As of 2020-04-01, assess whether the event occurs at least once through 2020-06-30. Include the full credible consequences beyond that window. Later information belongs to dated reviews, not the initial assessment.</x:v>
      </x:c>
    </x:row>
    <x:row r="14" ht="85" customHeight="1">
      <x:c r="A14" s="8" t="str">
        <x:v>Evidence</x:v>
      </x:c>
      <x:c r="B14" s="8" t="str">
        <x:v>Business outline(1).pdf confirms small-business clients and selected arrangements; page references are in each record and Source Text. Later examples remain preserved only in original sources. No 2025/2026 evidence supports initial ratings.</x:v>
      </x:c>
    </x:row>
    <x:row r="15" ht="85" customHeight="1">
      <x:c r="A15" s="5" t="str">
        <x:v>Tolerability</x:v>
      </x:c>
      <x:c r="B15" s="5" t="str">
        <x:v>Six risks are provisionally Tolerable, 24 provisionally Not tolerable, and 11 Awaiting assessment. Conclusions depend on explicit evidence and assumptions. Awaiting assessment is not acceptance. Matrix ratings alone do not determine tolerability.</x:v>
      </x:c>
    </x:row>
    <x:row r="16" ht="85" customHeight="1">
      <x:c r="A16" s="8" t="str">
        <x:v>Controls</x:v>
      </x:c>
      <x:c r="B16" s="8" t="str">
        <x:v>Case-confirmed arrangements are separated from team-submission assumptions. Existing suppliers and backup do not establish effectiveness. Proposed improvements are not counted as operating controls. No new controls are claimed as implemented.</x:v>
      </x:c>
    </x:row>
    <x:row r="17" ht="85" customHeight="1">
      <x:c r="A17" s="5" t="str">
        <x:v>Ownership</x:v>
      </x:c>
      <x:c r="B17" s="5" t="str">
        <x:v>Each risk has one proposed accountable ITrustU role following D14. Individuals and formal appointments remain to be designated. Student authors are source contributors, not organizational owners.</x:v>
      </x:c>
    </x:row>
    <x:row r="18" ht="42" customHeight="1">
      <x:c r="A18" s="8" t="str">
        <x:v>Editing</x:v>
      </x:c>
      <x:c r="B18" s="8" t="str">
        <x:v>Edit data in RiskRegister; N and O contain score inputs and P is a formula. Record View and Overview recalculate. Review Decisions includes editable status and notes; resolving a decision does not automatically amend the register.</x:v>
      </x:c>
    </x:row>
    <x:row r="19" ht="57" customHeight="1">
      <x:c r="A19" s="5" t="str">
        <x:v>Adding risks</x:v>
      </x:c>
      <x:c r="B19" s="5" t="str">
        <x:v>Append a row inside the Excel RiskRegisterTable. Copy the rating formula and validation, and extend the bounded ranges used by Overview and Record View. These views currently cover the 44-row review draft; they are not yet automated for unlimited new rows.</x:v>
      </x:c>
    </x:row>
    <x:row r="20" ht="85" customHeight="1">
      <x:c r="A20" s="8" t="str">
        <x:v>History</x:v>
      </x:c>
      <x:c r="B20" s="8" t="str">
        <x:v>Edit History preserves the initial consolidation comparison. Decision Log records subsequent before/after field values and project review dates. Current-state rows do not by themselves provide a full historical assessment series.</x:v>
      </x:c>
    </x:row>
    <x:row r="21" ht="42" customHeight="1">
      <x:c r="A21" s="5" t="str">
        <x:v>FIRM terminology</x:v>
      </x:c>
      <x:c r="B21" s="5" t="str">
        <x:v>Marketing follows the current group document and corresponds to Marketplace in the assignment template. Index items remain 1.1–4.4. No 4.5 item has been introduced.</x:v>
      </x:c>
    </x:row>
    <x:row r="22" ht="42" customHeight="1">
      <x:c r="A22" s="8" t="str">
        <x:v>Use of reviews</x:v>
      </x:c>
      <x:c r="B22" s="8" t="str">
        <x:v>Weekly reviews and immediate escalation remain governed by Part 2. The matrix does not introduce monthly or quarterly review rules.</x:v>
      </x:c>
    </x:row>
    <x:row r="23" ht="85" customHeight="1">
      <x:c r="A23" s="5" t="str">
        <x:v>Finalization</x:v>
      </x:c>
      <x:c r="B23" s="5" t="str">
        <x:v>D01–D18 project decisions agreed. Current tolerability: 6 conditional Tolerable, 24 provisional Not tolerable, 11 Awaiting assessment. Confirm financial evidence, controls and owner appointments before treating this as an operationally approved register.</x:v>
      </x:c>
    </x:row>
  </x:sheetData>
  <x:pageMargins left="0.7" right="0.7" top="0.75" bottom="0.75" header="0.3" footer="0.3"/>
  <x:tableParts count="1">
    <x:tablePart xmlns:r="http://schemas.openxmlformats.org/officeDocument/2006/relationships" r:id="R2ba64ace2b264e10"/>
  </x:tableParts>
</x:worksheet>
</file>

<file path=xl/worksheets/sheet1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25" hidden="0" customWidth="1"/>
    <x:col min="3" max="3" width="30" hidden="0" customWidth="1"/>
    <x:col min="4" max="4" width="85" hidden="0" customWidth="1"/>
    <x:col min="5" max="5" width="85" hidden="0" customWidth="1"/>
    <x:col min="6" max="6" width="30" hidden="0" customWidth="1"/>
    <x:col min="7" max="7" width="18" hidden="0" customWidth="1"/>
  </x:cols>
  <x:sheetData>
    <x:row r="2">
      <x:c r="A2" s="41" t="str">
        <x:v>Approved decisions and resulting revisions</x:v>
      </x:c>
    </x:row>
    <x:row r="3">
      <x:c r="A3" t="str">
        <x:v>Project review date is separate from the 2020 scenario date. Draft proposals are explicitly labelled. Initial source history remains in Edit History.</x:v>
      </x:c>
    </x:row>
    <x:row r="5" ht="38" customHeight="1">
      <x:c r="A5" s="38" t="str">
        <x:v>Record ID</x:v>
      </x:c>
      <x:c r="B5" s="38" t="str">
        <x:v>Decision</x:v>
      </x:c>
      <x:c r="C5" s="38" t="str">
        <x:v>Field</x:v>
      </x:c>
      <x:c r="D5" s="38" t="str">
        <x:v>Previous value</x:v>
      </x:c>
      <x:c r="E5" s="38" t="str">
        <x:v>Revised value</x:v>
      </x:c>
      <x:c r="F5" s="38" t="str">
        <x:v>Status</x:v>
      </x:c>
      <x:c r="G5" s="38" t="str">
        <x:v>Project review date</x:v>
      </x:c>
    </x:row>
    <x:row r="6" ht="120" customHeight="1">
      <x:c r="A6" s="33" t="str">
        <x:v>R-005</x:v>
      </x:c>
      <x:c r="B6" s="33" t="str">
        <x:v>D02</x:v>
      </x:c>
      <x:c r="C6" s="33" t="str">
        <x:v>Classification status</x:v>
      </x:c>
      <x:c r="D6" s="33" t="str">
        <x:v>Provisional</x:v>
      </x:c>
      <x:c r="E6" s="33" t="str">
        <x:v>Approved</x:v>
      </x:c>
      <x:c r="F6" s="33" t="str">
        <x:v>Applied in project review</x:v>
      </x:c>
      <x:c r="G6" s="43" t="d">
        <x:v>2026-10-18T00:00:00.000Z</x:v>
      </x:c>
    </x:row>
    <x:row r="7" ht="120" customHeight="1">
      <x:c r="A7" s="33" t="str">
        <x:v>R-020</x:v>
      </x:c>
      <x:c r="B7" s="33" t="str">
        <x:v>D03</x:v>
      </x:c>
      <x:c r="C7" s="33" t="str">
        <x:v>Risk title</x:v>
      </x:c>
      <x:c r="D7" s="33" t="str">
        <x:v>Remote-access weaknesses allow system compromise</x:v>
      </x:c>
      <x:c r="E7" s="33" t="str">
        <x:v>System compromise disrupts operations or damages integrity</x:v>
      </x:c>
      <x:c r="F7" s="33" t="str">
        <x:v>Applied in project review</x:v>
      </x:c>
      <x:c r="G7" s="43" t="d">
        <x:v>2026-10-18T00:00:00.000Z</x:v>
      </x:c>
    </x:row>
    <x:row r="8" ht="120" customHeight="1">
      <x:c r="A8" s="33" t="str">
        <x:v>R-020</x:v>
      </x:c>
      <x:c r="B8" s="33" t="str">
        <x:v>D03</x:v>
      </x:c>
      <x:c r="C8" s="33" t="str">
        <x:v>Risk event</x:v>
      </x:c>
      <x:c r="D8" s="33" t="str">
        <x:v>An attacker gains unauthorized system access or compromises essential systems.</x:v>
      </x:c>
      <x:c r="E8" s="33" t="str">
        <x:v>Unauthorized access compromises system integrity or disrupts essential operations.</x:v>
      </x:c>
      <x:c r="F8" s="33" t="str">
        <x:v>Applied in project review</x:v>
      </x:c>
      <x:c r="G8" s="43" t="d">
        <x:v>2026-10-18T00:00:00.000Z</x:v>
      </x:c>
    </x:row>
    <x:row r="9" ht="120" customHeight="1">
      <x:c r="A9" s="33" t="str">
        <x:v>R-020</x:v>
      </x:c>
      <x:c r="B9" s="33" t="str">
        <x:v>D03</x:v>
      </x:c>
      <x:c r="C9" s="33" t="str">
        <x:v>Potential impact</x:v>
      </x:c>
      <x:c r="D9" s="33" t="str">
        <x:v>Service interruption, recovery costs and exposure of customer information may cause serious harm.</x:v>
      </x:c>
      <x:c r="E9" s="33" t="str">
        <x:v>Corrupted systems or records, interrupted workflows and restoration costs may threaten essential service delivery. Customer-information disclosure is assessed separately in R-033.</x:v>
      </x:c>
      <x:c r="F9" s="33" t="str">
        <x:v>Applied in project review</x:v>
      </x:c>
      <x:c r="G9" s="43" t="d">
        <x:v>2026-10-18T00:00:00.000Z</x:v>
      </x:c>
    </x:row>
    <x:row r="10" ht="120" customHeight="1">
      <x:c r="A10" s="33" t="str">
        <x:v>R-020</x:v>
      </x:c>
      <x:c r="B10" s="33" t="str">
        <x:v>D10</x:v>
      </x:c>
      <x:c r="C10" s="33" t="str">
        <x:v>Magnitude</x:v>
      </x:c>
      <x:c r="D10" s="33" t="n">
        <x:v>5</x:v>
      </x:c>
      <x:c r="E10" s="33" t="n">
        <x:v>4</x:v>
      </x:c>
      <x:c r="F10" s="33" t="str">
        <x:v>Applied in project review</x:v>
      </x:c>
      <x:c r="G10" s="43" t="d">
        <x:v>2026-10-18T00:00:00.000Z</x:v>
      </x:c>
    </x:row>
    <x:row r="11" ht="120" customHeight="1">
      <x:c r="A11" s="33" t="str">
        <x:v>R-020</x:v>
      </x:c>
      <x:c r="B11" s="33" t="str">
        <x:v>D10</x:v>
      </x:c>
      <x:c r="C11" s="33" t="str">
        <x:v>Magnitude reasoning</x:v>
      </x:c>
      <x:c r="D11" s="33" t="str">
        <x:v>Severe assumes a broad compromise of critical systems or sensitive records, not every security incident.</x:v>
      </x:c>
      <x:c r="E11" s="33" t="str">
        <x:v>Major: substantial operational disruption or damage to system integrity. Severe would require sustained loss of essential operations beyond this base scenario. No customer-disclosure impact is counted here.</x:v>
      </x:c>
      <x:c r="F11" s="33" t="str">
        <x:v>Applied in project review</x:v>
      </x:c>
      <x:c r="G11" s="43" t="d">
        <x:v>2026-10-18T00:00:00.000Z</x:v>
      </x:c>
    </x:row>
    <x:row r="12" ht="120" customHeight="1">
      <x:c r="A12" s="33" t="str">
        <x:v>R-022</x:v>
      </x:c>
      <x:c r="B12" s="33" t="str">
        <x:v>D10</x:v>
      </x:c>
      <x:c r="C12" s="33" t="str">
        <x:v>Magnitude</x:v>
      </x:c>
      <x:c r="D12" s="33" t="n">
        <x:v>5</x:v>
      </x:c>
      <x:c r="E12" s="33" t="n">
        <x:v>4</x:v>
      </x:c>
      <x:c r="F12" s="33" t="str">
        <x:v>Applied in project review</x:v>
      </x:c>
      <x:c r="G12" s="43" t="d">
        <x:v>2026-10-18T00:00:00.000Z</x:v>
      </x:c>
    </x:row>
    <x:row r="13" ht="120" customHeight="1">
      <x:c r="A13" s="33" t="str">
        <x:v>R-022</x:v>
      </x:c>
      <x:c r="B13" s="33" t="str">
        <x:v>D10</x:v>
      </x:c>
      <x:c r="C13" s="33" t="str">
        <x:v>Magnitude reasoning</x:v>
      </x:c>
      <x:c r="D13" s="33" t="str">
        <x:v>Severe assumes prolonged simultaneous loss of core services. A brief recoverable outage would score lower.</x:v>
      </x:c>
      <x:c r="E13" s="33" t="str">
        <x:v>Major: loss of IT, telephony or network communications for longer than one day is an explicit case concern (Business outline, p. 3). This can materially interrupt obligations without establishing sustained inability to operate. A prolonged organizational shutdown remains a severe escalation scenario.</x:v>
      </x:c>
      <x:c r="F13" s="33" t="str">
        <x:v>Applied in project review</x:v>
      </x:c>
      <x:c r="G13" s="43" t="d">
        <x:v>2026-10-18T00:00:00.000Z</x:v>
      </x:c>
    </x:row>
    <x:row r="14" ht="120" customHeight="1">
      <x:c r="A14" s="33" t="str">
        <x:v>R-008</x:v>
      </x:c>
      <x:c r="B14" s="33" t="str">
        <x:v>D10</x:v>
      </x:c>
      <x:c r="C14" s="33" t="str">
        <x:v>Magnitude</x:v>
      </x:c>
      <x:c r="D14" s="33" t="n">
        <x:v>5</x:v>
      </x:c>
      <x:c r="E14" s="33" t="n">
        <x:v>4</x:v>
      </x:c>
      <x:c r="F14" s="33" t="str">
        <x:v>Applied in project review</x:v>
      </x:c>
      <x:c r="G14" s="43" t="d">
        <x:v>2026-10-18T00:00:00.000Z</x:v>
      </x:c>
    </x:row>
    <x:row r="15" ht="120" customHeight="1">
      <x:c r="A15" s="33" t="str">
        <x:v>R-008</x:v>
      </x:c>
      <x:c r="B15" s="33" t="str">
        <x:v>D10</x:v>
      </x:c>
      <x:c r="C15" s="33" t="str">
        <x:v>Magnitude reasoning</x:v>
      </x:c>
      <x:c r="D15" s="33" t="str">
        <x:v>Severe is conditional on large concentrated recoveries and insufficient independent capacity, not every delay.</x:v>
      </x:c>
      <x:c r="E15" s="33" t="str">
        <x:v>Major: a material delayed or unpaid recovery requires significant funding adjustments and threatens timely claims settlement. Severe escalation requires recoveries large enough to threaten sustained claims-paying capacity or viability; amounts and arrangements are unknown.</x:v>
      </x:c>
      <x:c r="F15" s="33" t="str">
        <x:v>Applied in project review</x:v>
      </x:c>
      <x:c r="G15" s="43" t="d">
        <x:v>2026-10-18T00:00:00.000Z</x:v>
      </x:c>
    </x:row>
    <x:row r="16" ht="120" customHeight="1">
      <x:c r="A16" s="33" t="str">
        <x:v>R-010</x:v>
      </x:c>
      <x:c r="B16" s="33" t="str">
        <x:v>D10</x:v>
      </x:c>
      <x:c r="C16" s="33" t="str">
        <x:v>Risk title</x:v>
      </x:c>
      <x:c r="D16" s="33" t="str">
        <x:v>Weather-related claims exceed available financial capacity</x:v>
      </x:c>
      <x:c r="E16" s="33" t="str">
        <x:v>Weather-related claims pressure claims-paying capacity</x:v>
      </x:c>
      <x:c r="F16" s="33" t="str">
        <x:v>Applied in project review</x:v>
      </x:c>
      <x:c r="G16" s="43" t="d">
        <x:v>2026-10-18T00:00:00.000Z</x:v>
      </x:c>
    </x:row>
    <x:row r="17" ht="120" customHeight="1">
      <x:c r="A17" s="33" t="str">
        <x:v>R-010</x:v>
      </x:c>
      <x:c r="B17" s="33" t="str">
        <x:v>D10</x:v>
      </x:c>
      <x:c r="C17" s="33" t="str">
        <x:v>Risk event</x:v>
      </x:c>
      <x:c r="D17" s="33" t="str">
        <x:v>Concentrated weather claims exceed accessible funding and available recoveries.</x:v>
      </x:c>
      <x:c r="E17" s="33" t="str">
        <x:v>A major weather event generates concentrated claims that place substantial pressure on claims-paying capacity.</x:v>
      </x:c>
      <x:c r="F17" s="33" t="str">
        <x:v>Applied in project review</x:v>
      </x:c>
      <x:c r="G17" s="43" t="d">
        <x:v>2026-10-18T00:00:00.000Z</x:v>
      </x:c>
    </x:row>
    <x:row r="18" ht="120" customHeight="1">
      <x:c r="A18" s="33" t="str">
        <x:v>R-010</x:v>
      </x:c>
      <x:c r="B18" s="33" t="str">
        <x:v>D10</x:v>
      </x:c>
      <x:c r="C18" s="33" t="str">
        <x:v>Potential impact</x:v>
      </x:c>
      <x:c r="D18" s="33" t="str">
        <x:v>Claims settlement and essential operations may be impaired, with potentially severe financial and customer consequences.</x:v>
      </x:c>
      <x:c r="E18" s="33" t="str">
        <x:v>A sudden demand for claims payments may require significant funding adjustments and delay settlement, harming customers and confidence. Financial exhaustion is not assumed in the base scenario.</x:v>
      </x:c>
      <x:c r="F18" s="33" t="str">
        <x:v>Applied in project review</x:v>
      </x:c>
      <x:c r="G18" s="43" t="d">
        <x:v>2026-10-18T00:00:00.000Z</x:v>
      </x:c>
    </x:row>
    <x:row r="19" ht="120" customHeight="1">
      <x:c r="A19" s="33" t="str">
        <x:v>R-010</x:v>
      </x:c>
      <x:c r="B19" s="33" t="str">
        <x:v>D10</x:v>
      </x:c>
      <x:c r="C19" s="33" t="str">
        <x:v>Magnitude</x:v>
      </x:c>
      <x:c r="D19" s="33" t="n">
        <x:v>5</x:v>
      </x:c>
      <x:c r="E19" s="33" t="n">
        <x:v>4</x:v>
      </x:c>
      <x:c r="F19" s="33" t="str">
        <x:v>Applied in project review</x:v>
      </x:c>
      <x:c r="G19" s="43" t="d">
        <x:v>2026-10-18T00:00:00.000Z</x:v>
      </x:c>
    </x:row>
    <x:row r="20" ht="120" customHeight="1">
      <x:c r="A20" s="33" t="str">
        <x:v>R-010</x:v>
      </x:c>
      <x:c r="B20" s="33" t="str">
        <x:v>D10</x:v>
      </x:c>
      <x:c r="C20" s="33" t="str">
        <x:v>Magnitude reasoning</x:v>
      </x:c>
      <x:c r="D20" s="33" t="str">
        <x:v>Severe depends on concentration, event size, reinsurance and funding capacity. No reserve deficiency is assumed as fact.</x:v>
      </x:c>
      <x:c r="E20" s="33" t="str">
        <x:v>Major: Ontario concentration supports a credible substantial claims shock. Severe escalation would require losses overwhelming available resources and protection, which the case does not quantify.</x:v>
      </x:c>
      <x:c r="F20" s="33" t="str">
        <x:v>Applied in project review</x:v>
      </x:c>
      <x:c r="G20" s="43" t="d">
        <x:v>2026-10-18T00:00:00.000Z</x:v>
      </x:c>
    </x:row>
    <x:row r="21" ht="120" customHeight="1">
      <x:c r="A21" s="33" t="str">
        <x:v>R-021</x:v>
      </x:c>
      <x:c r="B21" s="33" t="str">
        <x:v>D04</x:v>
      </x:c>
      <x:c r="C21" s="33" t="str">
        <x:v>Cause or trigger</x:v>
      </x:c>
      <x:c r="D21" s="33" t="str">
        <x:v>Remote demand exceeds network, server or internet capacity.</x:v>
      </x:c>
      <x:c r="E21" s="33" t="str">
        <x:v>Remote demand exceeds network, server or internet capacity. Inadequate capacity testing may leave this limitation unidentified.</x:v>
      </x:c>
      <x:c r="F21" s="33" t="str">
        <x:v>Applied in project review</x:v>
      </x:c>
      <x:c r="G21" s="43" t="d">
        <x:v>2026-10-18T00:00:00.000Z</x:v>
      </x:c>
    </x:row>
    <x:row r="22" ht="120" customHeight="1">
      <x:c r="A22" s="33" t="str">
        <x:v>R-022</x:v>
      </x:c>
      <x:c r="B22" s="33" t="str">
        <x:v>D04</x:v>
      </x:c>
      <x:c r="C22" s="33" t="str">
        <x:v>Cause or trigger</x:v>
      </x:c>
      <x:c r="D22" s="33" t="str">
        <x:v>A critical network component or single connection fails without a usable alternative.</x:v>
      </x:c>
      <x:c r="E22" s="33" t="str">
        <x:v>A critical network component or single connection fails without a usable alternative. Inadequate testing may leave overload and failure points unidentified.</x:v>
      </x:c>
      <x:c r="F22" s="33" t="str">
        <x:v>Applied in project review</x:v>
      </x:c>
      <x:c r="G22" s="43" t="d">
        <x:v>2026-10-18T00:00:00.000Z</x:v>
      </x:c>
    </x:row>
    <x:row r="23" ht="120" customHeight="1">
      <x:c r="A23" s="33" t="str">
        <x:v>R-025</x:v>
      </x:c>
      <x:c r="B23" s="33" t="str">
        <x:v>D04</x:v>
      </x:c>
      <x:c r="C23" s="33" t="str">
        <x:v>Risk title</x:v>
      </x:c>
      <x:c r="D23" s="33" t="str">
        <x:v>Remote coordination delays service restoration</x:v>
      </x:c>
      <x:c r="E23" s="33" t="str">
        <x:v>Service restoration exceeds the required timeframe</x:v>
      </x:c>
      <x:c r="F23" s="33" t="str">
        <x:v>Applied in project review</x:v>
      </x:c>
      <x:c r="G23" s="43" t="d">
        <x:v>2026-10-18T00:00:00.000Z</x:v>
      </x:c>
    </x:row>
    <x:row r="24" ht="120" customHeight="1">
      <x:c r="A24" s="33" t="str">
        <x:v>R-025</x:v>
      </x:c>
      <x:c r="B24" s="33" t="str">
        <x:v>D04</x:v>
      </x:c>
      <x:c r="C24" s="33" t="str">
        <x:v>Cause or trigger</x:v>
      </x:c>
      <x:c r="D24" s="33" t="str">
        <x:v>Dispersed staff, specialist availability and communication difficulties slow repair work.</x:v>
      </x:c>
      <x:c r="E24" s="33" t="str">
        <x:v>Remote coordination difficulties, unsuitable recovery procedures and untested recovery arrangements impede restoration.</x:v>
      </x:c>
      <x:c r="F24" s="33" t="str">
        <x:v>Applied in project review</x:v>
      </x:c>
      <x:c r="G24" s="43" t="d">
        <x:v>2026-10-18T00:00:00.000Z</x:v>
      </x:c>
    </x:row>
    <x:row r="25" ht="120" customHeight="1">
      <x:c r="A25" s="33" t="str">
        <x:v>R-025</x:v>
      </x:c>
      <x:c r="B25" s="33" t="str">
        <x:v>D04</x:v>
      </x:c>
      <x:c r="C25" s="33" t="str">
        <x:v>Risk event</x:v>
      </x:c>
      <x:c r="D25" s="33" t="str">
        <x:v>An otherwise recoverable fault takes longer to resolve remotely.</x:v>
      </x:c>
      <x:c r="E25" s="33" t="str">
        <x:v>Following a service disruption, essential services cannot be restored within the required timeframe.</x:v>
      </x:c>
      <x:c r="F25" s="33" t="str">
        <x:v>Applied in project review</x:v>
      </x:c>
      <x:c r="G25" s="43" t="d">
        <x:v>2026-10-18T00:00:00.000Z</x:v>
      </x:c>
    </x:row>
    <x:row r="26" ht="120" customHeight="1">
      <x:c r="A26" s="33" t="str">
        <x:v>R-025</x:v>
      </x:c>
      <x:c r="B26" s="33" t="str">
        <x:v>D04</x:v>
      </x:c>
      <x:c r="C26" s="33" t="str">
        <x:v>Potential impact</x:v>
      </x:c>
      <x:c r="D26" s="33" t="str">
        <x:v>Outages and backlogs persist, affecting customer service and operating costs.</x:v>
      </x:c>
      <x:c r="E26" s="33" t="str">
        <x:v>Prolonged outages and backlogs threaten claims handling, premium collection and customer support, increasing costs and customer harm. This assesses recovery performance following a disruption, not the initial failure itself.</x:v>
      </x:c>
      <x:c r="F26" s="33" t="str">
        <x:v>Applied in project review</x:v>
      </x:c>
      <x:c r="G26" s="43" t="d">
        <x:v>2026-10-18T00:00:00.000Z</x:v>
      </x:c>
    </x:row>
    <x:row r="27" ht="120" customHeight="1">
      <x:c r="A27" s="33" t="str">
        <x:v>R-025</x:v>
      </x:c>
      <x:c r="B27" s="33" t="str">
        <x:v>D04 / D11 proposal</x:v>
      </x:c>
      <x:c r="C27" s="33" t="str">
        <x:v>Risk Code</x:v>
      </x:c>
      <x:c r="D27" s="33" t="str">
        <x:v>I4-P-01</x:v>
      </x:c>
      <x:c r="E27" s="33" t="str">
        <x:v>I4-G-02</x:v>
      </x:c>
      <x:c r="F27" s="33" t="str">
        <x:v>Applied in project review</x:v>
      </x:c>
      <x:c r="G27" s="43" t="d">
        <x:v>2026-10-18T00:00:00.000Z</x:v>
      </x:c>
    </x:row>
    <x:row r="28" ht="120" customHeight="1">
      <x:c r="A28" s="33" t="str">
        <x:v>R-025</x:v>
      </x:c>
      <x:c r="B28" s="33" t="str">
        <x:v>D04 / D11 proposal</x:v>
      </x:c>
      <x:c r="C28" s="33" t="str">
        <x:v>Primary source</x:v>
      </x:c>
      <x:c r="D28" s="33" t="str">
        <x:v>P</x:v>
      </x:c>
      <x:c r="E28" s="33" t="str">
        <x:v>G</x:v>
      </x:c>
      <x:c r="F28" s="33" t="str">
        <x:v>Applied in project review</x:v>
      </x:c>
      <x:c r="G28" s="43" t="d">
        <x:v>2026-10-18T00:00:00.000Z</x:v>
      </x:c>
    </x:row>
    <x:row r="29" ht="120" customHeight="1">
      <x:c r="A29" s="33" t="str">
        <x:v>R-025</x:v>
      </x:c>
      <x:c r="B29" s="33" t="str">
        <x:v>D11 proposal</x:v>
      </x:c>
      <x:c r="C29" s="33" t="str">
        <x:v>Magnitude</x:v>
      </x:c>
      <x:c r="D29" s="33" t="n">
        <x:v>3</x:v>
      </x:c>
      <x:c r="E29" s="33" t="n">
        <x:v>4</x:v>
      </x:c>
      <x:c r="F29" s="33" t="str">
        <x:v>Applied in project review</x:v>
      </x:c>
      <x:c r="G29" s="43" t="d">
        <x:v>2026-10-18T00:00:00.000Z</x:v>
      </x:c>
    </x:row>
    <x:row r="30" ht="120" customHeight="1">
      <x:c r="A30" s="33" t="str">
        <x:v>R-025</x:v>
      </x:c>
      <x:c r="B30" s="33" t="str">
        <x:v>D11 proposal</x:v>
      </x:c>
      <x:c r="C30" s="33" t="str">
        <x:v>Likelihood reasoning</x:v>
      </x:c>
      <x:c r="D30" s="33" t="str">
        <x:v>A fault and coordination difficulty must coincide; the draft does not establish a likely joint event.</x:v>
      </x:c>
      <x:c r="E30" s="33" t="str">
        <x:v>Possible: both a disruption and unsuccessful or delayed recovery must occur within the horizon. Remote coordination and untested arrangements support concern, but no recovery performance history is supplied.</x:v>
      </x:c>
      <x:c r="F30" s="33" t="str">
        <x:v>Applied in project review</x:v>
      </x:c>
      <x:c r="G30" s="43" t="d">
        <x:v>2026-10-18T00:00:00.000Z</x:v>
      </x:c>
    </x:row>
    <x:row r="31" ht="120" customHeight="1">
      <x:c r="A31" s="33" t="str">
        <x:v>R-025</x:v>
      </x:c>
      <x:c r="B31" s="33" t="str">
        <x:v>D11 proposal</x:v>
      </x:c>
      <x:c r="C31" s="33" t="str">
        <x:v>Magnitude reasoning</x:v>
      </x:c>
      <x:c r="D31" s="33" t="str">
        <x:v>Moderate assumes coordination extends a manageable fault; serious prolonged outages are captured separately.</x:v>
      </x:c>
      <x:c r="E31" s="33" t="str">
        <x:v>Proposed Major, increased from Moderate: the consolidated event includes failure of recovery procedures and tests, potentially extending disruption across essential services. The required recovery timeframe still needs definition.</x:v>
      </x:c>
      <x:c r="F31" s="33" t="str">
        <x:v>Applied in project review</x:v>
      </x:c>
      <x:c r="G31" s="43" t="d">
        <x:v>2026-10-18T00:00:00.000Z</x:v>
      </x:c>
    </x:row>
    <x:row r="32" ht="120" customHeight="1">
      <x:c r="A32" s="33" t="str">
        <x:v>R-025</x:v>
      </x:c>
      <x:c r="B32" s="33" t="str">
        <x:v>D04</x:v>
      </x:c>
      <x:c r="C32" s="33" t="str">
        <x:v>Control gap or evidence needed</x:v>
      </x:c>
      <x:c r="D32" s="33" t="str">
        <x:v>Remote support procedures, contacts and restoration performance are unverified.</x:v>
      </x:c>
      <x:c r="E32" s="33" t="str">
        <x:v>Confirm recovery procedures, coordination roles, tested restoration of cloud backups, recovery objectives and evidence of exercises. R-024 recovery-testing and R-027 procedure gaps are incorporated here.</x:v>
      </x:c>
      <x:c r="F32" s="33" t="str">
        <x:v>Applied in project review</x:v>
      </x:c>
      <x:c r="G32" s="43" t="d">
        <x:v>2026-10-18T00:00:00.000Z</x:v>
      </x:c>
    </x:row>
    <x:row r="33" ht="120" customHeight="1">
      <x:c r="A33" s="33" t="str">
        <x:v>R-028</x:v>
      </x:c>
      <x:c r="B33" s="33" t="str">
        <x:v>D05</x:v>
      </x:c>
      <x:c r="C33" s="33" t="str">
        <x:v>Cause or trigger</x:v>
      </x:c>
      <x:c r="D33" s="33" t="str">
        <x:v>Travel disruption produces a sudden volume of claims, enquiries and coverage disputes.</x:v>
      </x:c>
      <x:c r="E33" s="33" t="str">
        <x:v>A surge in claims, related enquiries and coverage disputes exceeds planned processing capacity.</x:v>
      </x:c>
      <x:c r="F33" s="33" t="str">
        <x:v>Applied in project review</x:v>
      </x:c>
      <x:c r="G33" s="43" t="d">
        <x:v>2026-10-18T00:00:00.000Z</x:v>
      </x:c>
    </x:row>
    <x:row r="34" ht="120" customHeight="1">
      <x:c r="A34" s="33" t="str">
        <x:v>R-028</x:v>
      </x:c>
      <x:c r="B34" s="33" t="str">
        <x:v>D05</x:v>
      </x:c>
      <x:c r="C34" s="33" t="str">
        <x:v>Risk event</x:v>
      </x:c>
      <x:c r="D34" s="33" t="str">
        <x:v>Staff cannot respond within acceptable service times.</x:v>
      </x:c>
      <x:c r="E34" s="33" t="str">
        <x:v>Claims-related workloads exceed processing capacity even when planned staffing is available.</x:v>
      </x:c>
      <x:c r="F34" s="33" t="str">
        <x:v>Applied in project review</x:v>
      </x:c>
      <x:c r="G34" s="43" t="d">
        <x:v>2026-10-18T00:00:00.000Z</x:v>
      </x:c>
    </x:row>
    <x:row r="35" ht="120" customHeight="1">
      <x:c r="A35" s="33" t="str">
        <x:v>R-028</x:v>
      </x:c>
      <x:c r="B35" s="33" t="str">
        <x:v>D05</x:v>
      </x:c>
      <x:c r="C35" s="33" t="str">
        <x:v>Potential impact</x:v>
      </x:c>
      <x:c r="D35" s="33" t="str">
        <x:v>Backlogs, complaints and loss of trust develop, with additional costs and potential customer harm.</x:v>
      </x:c>
      <x:c r="E35" s="33" t="str">
        <x:v>Claims handling and related responses are delayed, increasing backlogs, complaints and customer harm. Separate from reduced staffing at normal demand in R-035.</x:v>
      </x:c>
      <x:c r="F35" s="33" t="str">
        <x:v>Applied in project review</x:v>
      </x:c>
      <x:c r="G35" s="43" t="d">
        <x:v>2026-10-18T00:00:00.000Z</x:v>
      </x:c>
    </x:row>
    <x:row r="36" ht="120" customHeight="1">
      <x:c r="A36" s="33" t="str">
        <x:v>R-035</x:v>
      </x:c>
      <x:c r="B36" s="33" t="str">
        <x:v>D05</x:v>
      </x:c>
      <x:c r="C36" s="33" t="str">
        <x:v>Cause or trigger</x:v>
      </x:c>
      <x:c r="D36" s="33" t="str">
        <x:v>Absence or vacancies reduce customer-facing capacity.</x:v>
      </x:c>
      <x:c r="E36" s="33" t="str">
        <x:v>Absence or vacancies reduce staff available for normal customer-facing workloads.</x:v>
      </x:c>
      <x:c r="F36" s="33" t="str">
        <x:v>Applied in project review</x:v>
      </x:c>
      <x:c r="G36" s="43" t="d">
        <x:v>2026-10-18T00:00:00.000Z</x:v>
      </x:c>
    </x:row>
    <x:row r="37" ht="120" customHeight="1">
      <x:c r="A37" s="33" t="str">
        <x:v>R-035</x:v>
      </x:c>
      <x:c r="B37" s="33" t="str">
        <x:v>D05</x:v>
      </x:c>
      <x:c r="C37" s="33" t="str">
        <x:v>Risk event</x:v>
      </x:c>
      <x:c r="D37" s="33" t="str">
        <x:v>Routine customer requests and after-sales work cannot be completed on time.</x:v>
      </x:c>
      <x:c r="E37" s="33" t="str">
        <x:v>Customer support, policy administration and other customer-facing services cannot be maintained even at normal demand.</x:v>
      </x:c>
      <x:c r="F37" s="33" t="str">
        <x:v>Applied in project review</x:v>
      </x:c>
      <x:c r="G37" s="43" t="d">
        <x:v>2026-10-18T00:00:00.000Z</x:v>
      </x:c>
    </x:row>
    <x:row r="38" ht="120" customHeight="1">
      <x:c r="A38" s="33" t="str">
        <x:v>R-035</x:v>
      </x:c>
      <x:c r="B38" s="33" t="str">
        <x:v>D05</x:v>
      </x:c>
      <x:c r="C38" s="33" t="str">
        <x:v>Potential impact</x:v>
      </x:c>
      <x:c r="D38" s="33" t="str">
        <x:v>Service quality and retention deteriorate, while unresolved work increases pressure on remaining staff.</x:v>
      </x:c>
      <x:c r="E38" s="33" t="str">
        <x:v>Routine services are interrupted or delayed, reducing service quality and retention. This may compound the demand-driven claims pressure in R-028 but is independently possible.</x:v>
      </x:c>
      <x:c r="F38" s="33" t="str">
        <x:v>Applied in project review</x:v>
      </x:c>
      <x:c r="G38" s="43" t="d">
        <x:v>2026-10-18T00:00:00.000Z</x:v>
      </x:c>
    </x:row>
    <x:row r="39" ht="120" customHeight="1">
      <x:c r="A39" s="33" t="str">
        <x:v>R-030</x:v>
      </x:c>
      <x:c r="B39" s="33" t="str">
        <x:v>D06</x:v>
      </x:c>
      <x:c r="C39" s="33" t="str">
        <x:v>Risk event</x:v>
      </x:c>
      <x:c r="D39" s="33" t="str">
        <x:v>Inaccurate or inconsistent coverage information reaches customers or remains unaddressed.</x:v>
      </x:c>
      <x:c r="E39" s="33" t="str">
        <x:v>Customers receive or rely on inaccurate or uncorrected information about their insurance coverage.</x:v>
      </x:c>
      <x:c r="F39" s="33" t="str">
        <x:v>Applied in project review</x:v>
      </x:c>
      <x:c r="G39" s="43" t="d">
        <x:v>2026-10-18T00:00:00.000Z</x:v>
      </x:c>
    </x:row>
    <x:row r="40" ht="120" customHeight="1">
      <x:c r="A40" s="33" t="str">
        <x:v>R-030</x:v>
      </x:c>
      <x:c r="B40" s="33" t="str">
        <x:v>D06</x:v>
      </x:c>
      <x:c r="C40" s="33" t="str">
        <x:v>Potential impact</x:v>
      </x:c>
      <x:c r="D40" s="33" t="str">
        <x:v>Customers may make unsuitable decisions, dispute coverage and lose trust in ITrustU.</x:v>
      </x:c>
      <x:c r="E40" s="33" t="str">
        <x:v>Customers may misunderstand their protection, make poorly informed decisions or dispute claims outcomes, damaging trust and increasing remediation costs.</x:v>
      </x:c>
      <x:c r="F40" s="33" t="str">
        <x:v>Applied in project review</x:v>
      </x:c>
      <x:c r="G40" s="43" t="d">
        <x:v>2026-10-18T00:00:00.000Z</x:v>
      </x:c>
    </x:row>
    <x:row r="41" ht="120" customHeight="1">
      <x:c r="A41" s="33" t="str">
        <x:v>R-036</x:v>
      </x:c>
      <x:c r="B41" s="33" t="str">
        <x:v>D06</x:v>
      </x:c>
      <x:c r="C41" s="33" t="str">
        <x:v>Risk title</x:v>
      </x:c>
      <x:c r="D41" s="33" t="str">
        <x:v>Service commitments are communicated unclearly</x:v>
      </x:c>
      <x:c r="E41" s="33" t="str">
        <x:v>Service expectations are communicated unclearly</x:v>
      </x:c>
      <x:c r="F41" s="33" t="str">
        <x:v>Applied in project review</x:v>
      </x:c>
      <x:c r="G41" s="43" t="d">
        <x:v>2026-10-18T00:00:00.000Z</x:v>
      </x:c>
    </x:row>
    <x:row r="42" ht="120" customHeight="1">
      <x:c r="A42" s="33" t="str">
        <x:v>R-036</x:v>
      </x:c>
      <x:c r="B42" s="33" t="str">
        <x:v>D06</x:v>
      </x:c>
      <x:c r="C42" s="33" t="str">
        <x:v>Cause or trigger</x:v>
      </x:c>
      <x:c r="D42" s="33" t="str">
        <x:v>Communication procedures do not align timelines and coverage explanations across channels.</x:v>
      </x:c>
      <x:c r="E42" s="33" t="str">
        <x:v>Communication procedures do not keep service timelines, availability and support-channel information consistent.</x:v>
      </x:c>
      <x:c r="F42" s="33" t="str">
        <x:v>Applied in project review</x:v>
      </x:c>
      <x:c r="G42" s="43" t="d">
        <x:v>2026-10-18T00:00:00.000Z</x:v>
      </x:c>
    </x:row>
    <x:row r="43" ht="120" customHeight="1">
      <x:c r="A43" s="33" t="str">
        <x:v>R-036</x:v>
      </x:c>
      <x:c r="B43" s="33" t="str">
        <x:v>D06</x:v>
      </x:c>
      <x:c r="C43" s="33" t="str">
        <x:v>Risk event</x:v>
      </x:c>
      <x:c r="D43" s="33" t="str">
        <x:v>Customers receive unclear or inconsistent service commitments.</x:v>
      </x:c>
      <x:c r="E43" s="33" t="str">
        <x:v>Customers receive unclear or inconsistent information about service availability, processing times or how to access support.</x:v>
      </x:c>
      <x:c r="F43" s="33" t="str">
        <x:v>Applied in project review</x:v>
      </x:c>
      <x:c r="G43" s="43" t="d">
        <x:v>2026-10-18T00:00:00.000Z</x:v>
      </x:c>
    </x:row>
    <x:row r="44" ht="120" customHeight="1">
      <x:c r="A44" s="33" t="str">
        <x:v>R-036</x:v>
      </x:c>
      <x:c r="B44" s="33" t="str">
        <x:v>D06</x:v>
      </x:c>
      <x:c r="C44" s="33" t="str">
        <x:v>Potential impact</x:v>
      </x:c>
      <x:c r="D44" s="33" t="str">
        <x:v>Avoidable disputes, complaints and customer loss result.</x:v>
      </x:c>
      <x:c r="E44" s="33" t="str">
        <x:v>Unmet expectations, repeated enquiries and complaints increase service pressure and reduce confidence. Coverage accuracy is assessed in R-030.</x:v>
      </x:c>
      <x:c r="F44" s="33" t="str">
        <x:v>Applied in project review</x:v>
      </x:c>
      <x:c r="G44" s="43" t="d">
        <x:v>2026-10-18T00:00:00.000Z</x:v>
      </x:c>
    </x:row>
    <x:row r="45" ht="120" customHeight="1">
      <x:c r="A45" s="33" t="str">
        <x:v>R-042</x:v>
      </x:c>
      <x:c r="B45" s="33" t="str">
        <x:v>D07</x:v>
      </x:c>
      <x:c r="C45" s="33" t="str">
        <x:v>Risk title</x:v>
      </x:c>
      <x:c r="D45" s="33" t="str">
        <x:v>Group financial pressure affects ITrustU's operating position</x:v>
      </x:c>
      <x:c r="E45" s="33" t="str">
        <x:v>Nonfinancial support sought from Tiva is unavailable</x:v>
      </x:c>
      <x:c r="F45" s="33" t="str">
        <x:v>Applied in project review</x:v>
      </x:c>
      <x:c r="G45" s="43" t="d">
        <x:v>2026-10-18T00:00:00.000Z</x:v>
      </x:c>
    </x:row>
    <x:row r="46" ht="120" customHeight="1">
      <x:c r="A46" s="33" t="str">
        <x:v>R-042</x:v>
      </x:c>
      <x:c r="B46" s="33" t="str">
        <x:v>D07</x:v>
      </x:c>
      <x:c r="C46" s="33" t="str">
        <x:v>Cause or trigger</x:v>
      </x:c>
      <x:c r="D46" s="33" t="str">
        <x:v>Economic pressures weaken Tiva across markets.</x:v>
      </x:c>
      <x:c r="E46" s="33" t="str">
        <x:v>Competing demands across Tiva constrain specialist expertise, technical assistance or independent review.</x:v>
      </x:c>
      <x:c r="F46" s="33" t="str">
        <x:v>Applied in project review</x:v>
      </x:c>
      <x:c r="G46" s="43" t="d">
        <x:v>2026-10-18T00:00:00.000Z</x:v>
      </x:c>
    </x:row>
    <x:row r="47" ht="120" customHeight="1">
      <x:c r="A47" s="33" t="str">
        <x:v>R-042</x:v>
      </x:c>
      <x:c r="B47" s="33" t="str">
        <x:v>D07</x:v>
      </x:c>
      <x:c r="C47" s="33" t="str">
        <x:v>Risk event</x:v>
      </x:c>
      <x:c r="D47" s="33" t="str">
        <x:v>Group constraints change ITrustU's access to expertise, assurance or strategic flexibility.</x:v>
      </x:c>
      <x:c r="E47" s="33" t="str">
        <x:v>Nonfinancial support sought from Tiva is unavailable or delayed when needed.</x:v>
      </x:c>
      <x:c r="F47" s="33" t="str">
        <x:v>Applied in project review</x:v>
      </x:c>
      <x:c r="G47" s="43" t="d">
        <x:v>2026-10-18T00:00:00.000Z</x:v>
      </x:c>
    </x:row>
    <x:row r="48" ht="120" customHeight="1">
      <x:c r="A48" s="33" t="str">
        <x:v>R-042</x:v>
      </x:c>
      <x:c r="B48" s="33" t="str">
        <x:v>D07</x:v>
      </x:c>
      <x:c r="C48" s="33" t="str">
        <x:v>Potential impact</x:v>
      </x:c>
      <x:c r="D48" s="33" t="str">
        <x:v>Operational improvements or decisions may be delayed and group-related confidence weakened.</x:v>
      </x:c>
      <x:c r="E48" s="33" t="str">
        <x:v>Risk assessment or operational improvements may be delayed while ITrustU uses internal capacity or seeks alternatives. Committed support or essential dependence is not assumed. Financial support is R-002.</x:v>
      </x:c>
      <x:c r="F48" s="33" t="str">
        <x:v>Applied in project review</x:v>
      </x:c>
      <x:c r="G48" s="43" t="d">
        <x:v>2026-10-18T00:00:00.000Z</x:v>
      </x:c>
    </x:row>
    <x:row r="49" ht="120" customHeight="1">
      <x:c r="A49" s="33" t="str">
        <x:v>R-042</x:v>
      </x:c>
      <x:c r="B49" s="33" t="str">
        <x:v>D07</x:v>
      </x:c>
      <x:c r="C49" s="33" t="str">
        <x:v>Primary source</x:v>
      </x:c>
      <x:c r="D49" s="33" t="str">
        <x:v>E</x:v>
      </x:c>
      <x:c r="E49" s="33" t="str">
        <x:v>S</x:v>
      </x:c>
      <x:c r="F49" s="33" t="str">
        <x:v>Applied in project review</x:v>
      </x:c>
      <x:c r="G49" s="43" t="d">
        <x:v>2026-10-18T00:00:00.000Z</x:v>
      </x:c>
    </x:row>
    <x:row r="50" ht="120" customHeight="1">
      <x:c r="A50" s="33" t="str">
        <x:v>R-042</x:v>
      </x:c>
      <x:c r="B50" s="33" t="str">
        <x:v>D07</x:v>
      </x:c>
      <x:c r="C50" s="33" t="str">
        <x:v>Risk Code</x:v>
      </x:c>
      <x:c r="D50" s="33" t="str">
        <x:v>M3-E-02</x:v>
      </x:c>
      <x:c r="E50" s="33" t="str">
        <x:v>M3-S-01</x:v>
      </x:c>
      <x:c r="F50" s="33" t="str">
        <x:v>Applied in project review</x:v>
      </x:c>
      <x:c r="G50" s="43" t="d">
        <x:v>2026-10-18T00:00:00.000Z</x:v>
      </x:c>
    </x:row>
    <x:row r="51" ht="120" customHeight="1">
      <x:c r="A51" s="33" t="str">
        <x:v>R-042</x:v>
      </x:c>
      <x:c r="B51" s="33" t="str">
        <x:v>D11 proposal</x:v>
      </x:c>
      <x:c r="C51" s="33" t="str">
        <x:v>Magnitude</x:v>
      </x:c>
      <x:c r="D51" s="33" t="n">
        <x:v>4</x:v>
      </x:c>
      <x:c r="E51" s="33" t="n">
        <x:v>3</x:v>
      </x:c>
      <x:c r="F51" s="33" t="str">
        <x:v>Applied in project review</x:v>
      </x:c>
      <x:c r="G51" s="43" t="d">
        <x:v>2026-10-18T00:00:00.000Z</x:v>
      </x:c>
    </x:row>
    <x:row r="52" ht="120" customHeight="1">
      <x:c r="A52" s="33" t="str">
        <x:v>R-042</x:v>
      </x:c>
      <x:c r="B52" s="33" t="str">
        <x:v>D11 proposal</x:v>
      </x:c>
      <x:c r="C52" s="33" t="str">
        <x:v>Magnitude reasoning</x:v>
      </x:c>
      <x:c r="D52" s="33" t="str">
        <x:v>Major requires material operational dependence on group support, which remains unconfirmed. Direct funding is R-002.</x:v>
      </x:c>
      <x:c r="E52" s="33" t="str">
        <x:v>Proposed Moderate: unavailable advisory or technical help creates coordination and resourcing pressures, but no essential dependence is confirmed. Major would require evidence that missing expertise threatens essential obligations.</x:v>
      </x:c>
      <x:c r="F52" s="33" t="str">
        <x:v>Applied in project review</x:v>
      </x:c>
      <x:c r="G52" s="43" t="d">
        <x:v>2026-10-18T00:00:00.000Z</x:v>
      </x:c>
    </x:row>
    <x:row r="53" ht="120" customHeight="1">
      <x:c r="A53" s="33" t="str">
        <x:v>R-042</x:v>
      </x:c>
      <x:c r="B53" s="33" t="str">
        <x:v>D11 proposal</x:v>
      </x:c>
      <x:c r="C53" s="33" t="str">
        <x:v>Control gap or evidence needed</x:v>
      </x:c>
      <x:c r="D53" s="33" t="str">
        <x:v>Clarify nonfinancial group dependence; consider merging with R-002 if no distinct event remains.</x:v>
      </x:c>
      <x:c r="E53" s="33" t="str">
        <x:v>Confirm the support sought, internal skills and alternative providers. Review proposed relocation from M3 to I4 for nonfinancial provider continuity.</x:v>
      </x:c>
      <x:c r="F53" s="33" t="str">
        <x:v>Applied in project review</x:v>
      </x:c>
      <x:c r="G53" s="43" t="d">
        <x:v>2026-10-18T00:00:00.000Z</x:v>
      </x:c>
    </x:row>
    <x:row r="54" ht="120" customHeight="1">
      <x:c r="A54" s="33" t="str">
        <x:v>R-011</x:v>
      </x:c>
      <x:c r="B54" s="33" t="str">
        <x:v>D08</x:v>
      </x:c>
      <x:c r="C54" s="33" t="str">
        <x:v>Cause or trigger</x:v>
      </x:c>
      <x:c r="D54" s="33" t="str">
        <x:v>Pandemic disruption increases covered cancellations and other covered claims within a short period.</x:v>
      </x:c>
      <x:c r="E54" s="33" t="str">
        <x:v>Pandemic disruption increases covered claims across relevant product lines within a short period.</x:v>
      </x:c>
      <x:c r="F54" s="33" t="str">
        <x:v>Applied in project review</x:v>
      </x:c>
      <x:c r="G54" s="43" t="d">
        <x:v>2026-10-18T00:00:00.000Z</x:v>
      </x:c>
    </x:row>
    <x:row r="55" ht="120" customHeight="1">
      <x:c r="A55" s="33" t="str">
        <x:v>R-011</x:v>
      </x:c>
      <x:c r="B55" s="33" t="str">
        <x:v>D08</x:v>
      </x:c>
      <x:c r="C55" s="33" t="str">
        <x:v>Risk event</x:v>
      </x:c>
      <x:c r="D55" s="33" t="str">
        <x:v>Concurrent claims obligations exceed planned payment and handling capacity.</x:v>
      </x:c>
      <x:c r="E55" s="33" t="str">
        <x:v>Concurrent payable claims exceed planned payment and handling capacity.</x:v>
      </x:c>
      <x:c r="F55" s="33" t="str">
        <x:v>Applied in project review</x:v>
      </x:c>
      <x:c r="G55" s="43" t="d">
        <x:v>2026-10-18T00:00:00.000Z</x:v>
      </x:c>
    </x:row>
    <x:row r="56" ht="120" customHeight="1">
      <x:c r="A56" s="33" t="str">
        <x:v>R-011</x:v>
      </x:c>
      <x:c r="B56" s="33" t="str">
        <x:v>D08</x:v>
      </x:c>
      <x:c r="C56" s="33" t="str">
        <x:v>Likelihood reasoning</x:v>
      </x:c>
      <x:c r="D56" s="33" t="str">
        <x:v>Travel disruption supports a likely surge in enquiries and some covered claims; contractual coverage and other product trends need validation.</x:v>
      </x:c>
      <x:c r="E56" s="33" t="str">
        <x:v>Likely provisional judgment: disruption may concentrate covered claims, particularly relevant cancellations. Product terms, exclusions and submitted versus payable amounts must be distinguished. No separate medical product or automatic pandemic cover is assumed.</x:v>
      </x:c>
      <x:c r="F56" s="33" t="str">
        <x:v>Applied in project review</x:v>
      </x:c>
      <x:c r="G56" s="43" t="d">
        <x:v>2026-10-18T00:00:00.000Z</x:v>
      </x:c>
    </x:row>
    <x:row r="57" ht="120" customHeight="1">
      <x:c r="A57" s="33" t="str">
        <x:v>R-038</x:v>
      </x:c>
      <x:c r="B57" s="33" t="str">
        <x:v>D08</x:v>
      </x:c>
      <x:c r="C57" s="33" t="str">
        <x:v>Risk title</x:v>
      </x:c>
      <x:c r="D57" s="33" t="str">
        <x:v>Business-owner income loss reduces personal coverage</x:v>
      </x:c>
      <x:c r="E57" s="33" t="str">
        <x:v>Small-business clients reduce, defer or cancel coverage</x:v>
      </x:c>
      <x:c r="F57" s="33" t="str">
        <x:v>Applied in project review</x:v>
      </x:c>
      <x:c r="G57" s="43" t="d">
        <x:v>2026-10-18T00:00:00.000Z</x:v>
      </x:c>
    </x:row>
    <x:row r="58" ht="120" customHeight="1">
      <x:c r="A58" s="33" t="str">
        <x:v>R-038</x:v>
      </x:c>
      <x:c r="B58" s="33" t="str">
        <x:v>D08; D09</x:v>
      </x:c>
      <x:c r="C58" s="33" t="str">
        <x:v>Cause or trigger</x:v>
      </x:c>
      <x:c r="D58" s="33" t="str">
        <x:v>Small-business interruption reduces owners' household income.</x:v>
      </x:c>
      <x:c r="E58" s="33" t="str">
        <x:v>Pandemic revenue losses or closures reduce small-business clients’ ability to fund premiums. Delayed or insufficient public assistance may prolong this pressure.</x:v>
      </x:c>
      <x:c r="F58" s="33" t="str">
        <x:v>Applied in project review</x:v>
      </x:c>
      <x:c r="G58" s="43" t="d">
        <x:v>2026-10-18T00:00:00.000Z</x:v>
      </x:c>
    </x:row>
    <x:row r="59" ht="120" customHeight="1">
      <x:c r="A59" s="33" t="str">
        <x:v>R-038</x:v>
      </x:c>
      <x:c r="B59" s="33" t="str">
        <x:v>D08</x:v>
      </x:c>
      <x:c r="C59" s="33" t="str">
        <x:v>Risk event</x:v>
      </x:c>
      <x:c r="D59" s="33" t="str">
        <x:v>Business-owner customers reduce, defer or cancel their personal policies.</x:v>
      </x:c>
      <x:c r="E59" s="33" t="str">
        <x:v>Small-business clients defer premium payments, reduce coverage or cancel policies.</x:v>
      </x:c>
      <x:c r="F59" s="33" t="str">
        <x:v>Applied in project review</x:v>
      </x:c>
      <x:c r="G59" s="43" t="d">
        <x:v>2026-10-18T00:00:00.000Z</x:v>
      </x:c>
    </x:row>
    <x:row r="60" ht="120" customHeight="1">
      <x:c r="A60" s="33" t="str">
        <x:v>R-038</x:v>
      </x:c>
      <x:c r="B60" s="33" t="str">
        <x:v>D08</x:v>
      </x:c>
      <x:c r="C60" s="33" t="str">
        <x:v>Potential impact</x:v>
      </x:c>
      <x:c r="D60" s="33" t="str">
        <x:v>Premium income declines and customer support needs increase.</x:v>
      </x:c>
      <x:c r="E60" s="33" t="str">
        <x:v>Premium income and customer retention decline. Business-client cover is confirmed as a segment, but particular policy types and coverage terms are unspecified.</x:v>
      </x:c>
      <x:c r="F60" s="33" t="str">
        <x:v>Applied in project review</x:v>
      </x:c>
      <x:c r="G60" s="43" t="d">
        <x:v>2026-10-18T00:00:00.000Z</x:v>
      </x:c>
    </x:row>
    <x:row r="61" ht="120" customHeight="1">
      <x:c r="A61" s="33" t="str">
        <x:v>R-038</x:v>
      </x:c>
      <x:c r="B61" s="33" t="str">
        <x:v>D08</x:v>
      </x:c>
      <x:c r="C61" s="33" t="str">
        <x:v>Likelihood reasoning</x:v>
      </x:c>
      <x:c r="D61" s="33" t="str">
        <x:v>Business disruption makes reductions plausible, but this customer segment's size is unknown.</x:v>
      </x:c>
      <x:c r="E61" s="33" t="str">
        <x:v>Possible: the case confirms more than 100 small-business clients (Business outline, p. 2). Revenue disruption could affect their payments; concentration, premium value and actual lapse rates are unknown.</x:v>
      </x:c>
      <x:c r="F61" s="33" t="str">
        <x:v>Applied in project review</x:v>
      </x:c>
      <x:c r="G61" s="43" t="d">
        <x:v>2026-10-18T00:00:00.000Z</x:v>
      </x:c>
    </x:row>
    <x:row r="62" ht="120" customHeight="1">
      <x:c r="A62" s="33" t="str">
        <x:v>R-038</x:v>
      </x:c>
      <x:c r="B62" s="33" t="str">
        <x:v>D08</x:v>
      </x:c>
      <x:c r="C62" s="33" t="str">
        <x:v>Magnitude reasoning</x:v>
      </x:c>
      <x:c r="D62" s="33" t="str">
        <x:v>Moderate depends on segment concentration. This draft does not assume commercial policies are sold.</x:v>
      </x:c>
      <x:c r="E62" s="33" t="str">
        <x:v>Moderate provisional judgment: a meaningful segment may be affected, but its premium share is not supplied. Do not substitute business owners’ personal policies for the confirmed business-client segment.</x:v>
      </x:c>
      <x:c r="F62" s="33" t="str">
        <x:v>Applied in project review</x:v>
      </x:c>
      <x:c r="G62" s="43" t="d">
        <x:v>2026-10-18T00:00:00.000Z</x:v>
      </x:c>
    </x:row>
    <x:row r="63" ht="120" customHeight="1">
      <x:c r="A63" s="33" t="str">
        <x:v>R-038</x:v>
      </x:c>
      <x:c r="B63" s="33" t="str">
        <x:v>D08</x:v>
      </x:c>
      <x:c r="C63" s="33" t="str">
        <x:v>Control gap or evidence needed</x:v>
      </x:c>
      <x:c r="D63" s="33" t="str">
        <x:v>Confirm product scope, segment exposure and relevant retention arrangements.</x:v>
      </x:c>
      <x:c r="E63" s="33" t="str">
        <x:v>Confirm business-client premium exposure, policy terms and affordability arrangements. Do not assume business-interruption cover or public-program eligibility.</x:v>
      </x:c>
      <x:c r="F63" s="33" t="str">
        <x:v>Applied in project review</x:v>
      </x:c>
      <x:c r="G63" s="43" t="d">
        <x:v>2026-10-18T00:00:00.000Z</x:v>
      </x:c>
    </x:row>
    <x:row r="64" ht="120" customHeight="1">
      <x:c r="A64" s="33" t="str">
        <x:v>R-037</x:v>
      </x:c>
      <x:c r="B64" s="33" t="str">
        <x:v>D09</x:v>
      </x:c>
      <x:c r="C64" s="33" t="str">
        <x:v>Cause or trigger</x:v>
      </x:c>
      <x:c r="D64" s="33" t="str">
        <x:v>Income loss and financial uncertainty reduce customers' ability to pay.</x:v>
      </x:c>
      <x:c r="E64" s="33" t="str">
        <x:v>Income loss and financial uncertainty reduce customers' ability to pay. Delayed or insufficient public assistance may prolong household affordability pressure.</x:v>
      </x:c>
      <x:c r="F64" s="33" t="str">
        <x:v>Applied in project review</x:v>
      </x:c>
      <x:c r="G64" s="43" t="d">
        <x:v>2026-10-18T00:00:00.000Z</x:v>
      </x:c>
    </x:row>
    <x:row r="65" ht="120" customHeight="1">
      <x:c r="A65" s="33" t="str">
        <x:v>R-037</x:v>
      </x:c>
      <x:c r="B65" s="33" t="str">
        <x:v>D09</x:v>
      </x:c>
      <x:c r="C65" s="33" t="str">
        <x:v>Likelihood reasoning</x:v>
      </x:c>
      <x:c r="D65" s="33" t="str">
        <x:v>Pandemic-related income pressure makes some reductions likely; portfolio-specific lapse rates are unknown.</x:v>
      </x:c>
      <x:c r="E65" s="33" t="str">
        <x:v>Pandemic-related income pressure makes some reductions likely; portfolio-specific lapse rates are unknown. Public assistance may affect the duration of pressure; no particular program or eligibility is assumed.</x:v>
      </x:c>
      <x:c r="F65" s="33" t="str">
        <x:v>Applied in project review</x:v>
      </x:c>
      <x:c r="G65" s="43" t="d">
        <x:v>2026-10-18T00:00:00.000Z</x:v>
      </x:c>
    </x:row>
    <x:row r="66" ht="120" customHeight="1">
      <x:c r="A66" s="33" t="str">
        <x:v>R-033</x:v>
      </x:c>
      <x:c r="B66" s="33" t="str">
        <x:v>D10</x:v>
      </x:c>
      <x:c r="C66" s="33" t="str">
        <x:v>Risk title</x:v>
      </x:c>
      <x:c r="D66" s="33" t="str">
        <x:v>Unauthorized parties access customer information</x:v>
      </x:c>
      <x:c r="E66" s="33" t="str">
        <x:v>Widespread sensitive customer information is exposed</x:v>
      </x:c>
      <x:c r="F66" s="33" t="str">
        <x:v>Applied in project review</x:v>
      </x:c>
      <x:c r="G66" s="43" t="d">
        <x:v>2026-10-18T00:00:00.000Z</x:v>
      </x:c>
    </x:row>
    <x:row r="67" ht="120" customHeight="1">
      <x:c r="A67" s="33" t="str">
        <x:v>R-033</x:v>
      </x:c>
      <x:c r="B67" s="33" t="str">
        <x:v>D03; D10</x:v>
      </x:c>
      <x:c r="C67" s="33" t="str">
        <x:v>Risk event</x:v>
      </x:c>
      <x:c r="D67" s="33" t="str">
        <x:v>Customer information is accessed or disclosed without authorization.</x:v>
      </x:c>
      <x:c r="E67" s="33" t="str">
        <x:v>Unauthorized access or disclosure exposes sensitive information relating to a substantial number of customers.</x:v>
      </x:c>
      <x:c r="F67" s="33" t="str">
        <x:v>Applied in project review</x:v>
      </x:c>
      <x:c r="G67" s="43" t="d">
        <x:v>2026-10-18T00:00:00.000Z</x:v>
      </x:c>
    </x:row>
    <x:row r="68" ht="120" customHeight="1">
      <x:c r="A68" s="33" t="str">
        <x:v>R-033</x:v>
      </x:c>
      <x:c r="B68" s="33" t="str">
        <x:v>D03; D10</x:v>
      </x:c>
      <x:c r="C68" s="33" t="str">
        <x:v>Potential impact</x:v>
      </x:c>
      <x:c r="D68" s="33" t="str">
        <x:v>Affected customers may suffer harm, while investigation, remediation and loss of trust affect the company.</x:v>
      </x:c>
      <x:c r="E68" s="33" t="str">
        <x:v>Widespread sensitive-information exposure may cause serious customer harm, substantial remediation and lasting loss of trust. System disruption alone is assessed under R-020.</x:v>
      </x:c>
      <x:c r="F68" s="33" t="str">
        <x:v>Applied in project review</x:v>
      </x:c>
      <x:c r="G68" s="43" t="d">
        <x:v>2026-10-18T00:00:00.000Z</x:v>
      </x:c>
    </x:row>
    <x:row r="69" ht="120" customHeight="1">
      <x:c r="A69" s="33" t="str">
        <x:v>R-033</x:v>
      </x:c>
      <x:c r="B69" s="33" t="str">
        <x:v>D11 proposal</x:v>
      </x:c>
      <x:c r="C69" s="33" t="str">
        <x:v>Likelihood</x:v>
      </x:c>
      <x:c r="D69" s="33" t="n">
        <x:v>3</x:v>
      </x:c>
      <x:c r="E69" s="33" t="n">
        <x:v>2</x:v>
      </x:c>
      <x:c r="F69" s="33" t="str">
        <x:v>Applied in project review</x:v>
      </x:c>
      <x:c r="G69" s="43" t="d">
        <x:v>2026-10-18T00:00:00.000Z</x:v>
      </x:c>
    </x:row>
    <x:row r="70" ht="120" customHeight="1">
      <x:c r="A70" s="33" t="str">
        <x:v>R-033</x:v>
      </x:c>
      <x:c r="B70" s="33" t="str">
        <x:v>D11 proposal</x:v>
      </x:c>
      <x:c r="C70" s="33" t="str">
        <x:v>Likelihood reasoning</x:v>
      </x:c>
      <x:c r="D70" s="33" t="str">
        <x:v>Remote exposure makes an incident plausible, but no incident evidence supports near certainty.</x:v>
      </x:c>
      <x:c r="E70" s="33" t="str">
        <x:v>Proposed Unlikely for the specifically widespread, serious-harm scenario. The previous Possible rating applied to a broader disclosure event. A large exposure remains credible, but accessible data volumes and attack pathways are unknown; this is an uncertain scenario judgment, not a measured probability.</x:v>
      </x:c>
      <x:c r="F70" s="33" t="str">
        <x:v>Applied in project review</x:v>
      </x:c>
      <x:c r="G70" s="43" t="d">
        <x:v>2026-10-18T00:00:00.000Z</x:v>
      </x:c>
    </x:row>
    <x:row r="71" ht="120" customHeight="1">
      <x:c r="A71" s="33" t="str">
        <x:v>R-033</x:v>
      </x:c>
      <x:c r="B71" s="33" t="str">
        <x:v>D10</x:v>
      </x:c>
      <x:c r="C71" s="33" t="str">
        <x:v>Magnitude reasoning</x:v>
      </x:c>
      <x:c r="D71" s="33" t="str">
        <x:v>Severe assumes widespread sensitive-data exposure and serious harm; low appetite alone does not justify this score.</x:v>
      </x:c>
      <x:c r="E71" s="33" t="str">
        <x:v>Severe only for widespread sensitive-data exposure causing serious customer harm. This is not a blanket score for every disclosure and is not justified merely by low appetite.</x:v>
      </x:c>
      <x:c r="F71" s="33" t="str">
        <x:v>Applied in project review</x:v>
      </x:c>
      <x:c r="G71" s="43" t="d">
        <x:v>2026-10-18T00:00:00.000Z</x:v>
      </x:c>
    </x:row>
    <x:row r="72" ht="120" customHeight="1">
      <x:c r="A72" s="33" t="str">
        <x:v>R-001</x:v>
      </x:c>
      <x:c r="B72" s="33" t="str">
        <x:v>D13</x:v>
      </x:c>
      <x:c r="C72" s="33" t="str">
        <x:v>Likelihood horizon</x:v>
      </x:c>
      <x:c r="D72" s="33" t="str">
        <x:v>Initial three months</x:v>
      </x:c>
      <x:c r="E72" s="33" t="str">
        <x:v>2020-04-01 to 2020-06-30</x:v>
      </x:c>
      <x:c r="F72" s="33" t="str">
        <x:v>Applied in project review</x:v>
      </x:c>
      <x:c r="G72" s="43" t="d">
        <x:v>2026-10-18T00:00:00.000Z</x:v>
      </x:c>
    </x:row>
    <x:row r="73" ht="120" customHeight="1">
      <x:c r="A73" s="33" t="str">
        <x:v>R-001</x:v>
      </x:c>
      <x:c r="B73" s="33" t="str">
        <x:v>D12; D13</x:v>
      </x:c>
      <x:c r="C73" s="33" t="str">
        <x:v>Evidence and experience</x:v>
      </x:c>
      <x:c r="D73" s="33" t="str">
        <x:v>See Source Records for R-001 and Source Text for the original references. No verified internal incident history or empirical probability estimate is supplied. Historical examples require a scenario-date and relevance check before use.</x:v>
      </x:c>
      <x:c r="E73"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73" s="33" t="str">
        <x:v>Applied in project review</x:v>
      </x:c>
      <x:c r="G73" s="43" t="d">
        <x:v>2026-10-18T00:00:00.000Z</x:v>
      </x:c>
    </x:row>
    <x:row r="74" ht="120" customHeight="1">
      <x:c r="A74" s="33" t="str">
        <x:v>R-001</x:v>
      </x:c>
      <x:c r="B74" s="33" t="str">
        <x:v>D14</x:v>
      </x:c>
      <x:c r="C74" s="33" t="str">
        <x:v>Risk owner</x:v>
      </x:c>
      <x:c r="D74" s="33" t="str">
        <x:v>Unassigned</x:v>
      </x:c>
      <x:c r="E74" s="33" t="str">
        <x:v>Finance Manager</x:v>
      </x:c>
      <x:c r="F74" s="33" t="str">
        <x:v>Applied in project review</x:v>
      </x:c>
      <x:c r="G74" s="43" t="d">
        <x:v>2026-10-18T00:00:00.000Z</x:v>
      </x:c>
    </x:row>
    <x:row r="75" ht="120" customHeight="1">
      <x:c r="A75" s="33" t="str">
        <x:v>R-001</x:v>
      </x:c>
      <x:c r="B75" s="33" t="str">
        <x:v>D13</x:v>
      </x:c>
      <x:c r="C75" s="33" t="str">
        <x:v>Longer-term exposure</x:v>
      </x:c>
      <x:c r="D75" s="33" t="str">
        <x:v>Consequences may extend beyond three months; reassess during weekly reviews.</x:v>
      </x:c>
      <x:c r="E75" s="33" t="str">
        <x:v>Consequences may extend beyond three months; reassess during weekly reviews. Initial likelihood horizon ends 2020-06-30; later information belongs to dated reviews.</x:v>
      </x:c>
      <x:c r="F75" s="33" t="str">
        <x:v>Applied in project review</x:v>
      </x:c>
      <x:c r="G75" s="43" t="d">
        <x:v>2026-10-18T00:00:00.000Z</x:v>
      </x:c>
    </x:row>
    <x:row r="76" ht="120" customHeight="1">
      <x:c r="A76" s="33" t="str">
        <x:v>R-001</x:v>
      </x:c>
      <x:c r="B76" s="33" t="str">
        <x:v>Review batch</x:v>
      </x:c>
      <x:c r="C76" s="33" t="str">
        <x:v>Revision notes</x:v>
      </x:c>
      <x:c r="D76" s="33" t="str">
        <x:v>Cause, event and impact separated; wording aligned to pandemic onset. Source evidence and controls remain unverified.</x:v>
      </x:c>
      <x:c r="E76" s="33" t="str">
        <x:v>Cause, event and impact separated; wording aligned to pandemic onset. Source evidence and controls remain unverified. Decisions applied: Initial review; D12–D14. See Decision Log for specific before/after values.</x:v>
      </x:c>
      <x:c r="F76" s="33" t="str">
        <x:v>Applied in project review</x:v>
      </x:c>
      <x:c r="G76" s="43" t="d">
        <x:v>2026-10-18T00:00:00.000Z</x:v>
      </x:c>
    </x:row>
    <x:row r="77" ht="120" customHeight="1">
      <x:c r="A77" s="33" t="str">
        <x:v>R-002</x:v>
      </x:c>
      <x:c r="B77" s="33" t="str">
        <x:v>D13</x:v>
      </x:c>
      <x:c r="C77" s="33" t="str">
        <x:v>Likelihood horizon</x:v>
      </x:c>
      <x:c r="D77" s="33" t="str">
        <x:v>Initial three months</x:v>
      </x:c>
      <x:c r="E77" s="33" t="str">
        <x:v>2020-04-01 to 2020-06-30</x:v>
      </x:c>
      <x:c r="F77" s="33" t="str">
        <x:v>Applied in project review</x:v>
      </x:c>
      <x:c r="G77" s="43" t="d">
        <x:v>2026-10-18T00:00:00.000Z</x:v>
      </x:c>
    </x:row>
    <x:row r="78" ht="120" customHeight="1">
      <x:c r="A78" s="33" t="str">
        <x:v>R-002</x:v>
      </x:c>
      <x:c r="B78" s="33" t="str">
        <x:v>D12; D13</x:v>
      </x:c>
      <x:c r="C78" s="33" t="str">
        <x:v>Evidence and experience</x:v>
      </x:c>
      <x:c r="D78" s="33" t="str">
        <x:v>See Source Records for R-002 and Source Text for the original references. No verified internal incident history or empirical probability estimate is supplied. Historical examples require a scenario-date and relevance check before use.</x:v>
      </x:c>
      <x:c r="E78"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78" s="33" t="str">
        <x:v>Applied in project review</x:v>
      </x:c>
      <x:c r="G78" s="43" t="d">
        <x:v>2026-10-18T00:00:00.000Z</x:v>
      </x:c>
    </x:row>
    <x:row r="79" ht="120" customHeight="1">
      <x:c r="A79" s="33" t="str">
        <x:v>R-002</x:v>
      </x:c>
      <x:c r="B79" s="33" t="str">
        <x:v>D14</x:v>
      </x:c>
      <x:c r="C79" s="33" t="str">
        <x:v>Risk owner</x:v>
      </x:c>
      <x:c r="D79" s="33" t="str">
        <x:v>Unassigned</x:v>
      </x:c>
      <x:c r="E79" s="33" t="str">
        <x:v>Finance Manager</x:v>
      </x:c>
      <x:c r="F79" s="33" t="str">
        <x:v>Applied in project review</x:v>
      </x:c>
      <x:c r="G79" s="43" t="d">
        <x:v>2026-10-18T00:00:00.000Z</x:v>
      </x:c>
    </x:row>
    <x:row r="80" ht="120" customHeight="1">
      <x:c r="A80" s="33" t="str">
        <x:v>R-002</x:v>
      </x:c>
      <x:c r="B80" s="33" t="str">
        <x:v>D13</x:v>
      </x:c>
      <x:c r="C80" s="33" t="str">
        <x:v>Longer-term exposure</x:v>
      </x:c>
      <x:c r="D80" s="33" t="str">
        <x:v>Consequences may extend beyond three months; reassess during weekly reviews.</x:v>
      </x:c>
      <x:c r="E80" s="33" t="str">
        <x:v>Consequences may extend beyond three months; reassess during weekly reviews. Initial likelihood horizon ends 2020-06-30; later information belongs to dated reviews.</x:v>
      </x:c>
      <x:c r="F80" s="33" t="str">
        <x:v>Applied in project review</x:v>
      </x:c>
      <x:c r="G80" s="43" t="d">
        <x:v>2026-10-18T00:00:00.000Z</x:v>
      </x:c>
    </x:row>
    <x:row r="81" ht="120" customHeight="1">
      <x:c r="A81" s="33" t="str">
        <x:v>R-002</x:v>
      </x:c>
      <x:c r="B81" s="33" t="str">
        <x:v>Review batch</x:v>
      </x:c>
      <x:c r="C81" s="33" t="str">
        <x:v>Revision notes</x:v>
      </x:c>
      <x:c r="D81" s="33" t="str">
        <x:v>Cause, event and impact separated; wording aligned to pandemic onset. Source evidence and controls remain unverified.</x:v>
      </x:c>
      <x:c r="E81" s="33" t="str">
        <x:v>Cause, event and impact separated; wording aligned to pandemic onset. Source evidence and controls remain unverified. Decisions applied: Initial review; D12–D14. See Decision Log for specific before/after values.</x:v>
      </x:c>
      <x:c r="F81" s="33" t="str">
        <x:v>Applied in project review</x:v>
      </x:c>
      <x:c r="G81" s="43" t="d">
        <x:v>2026-10-18T00:00:00.000Z</x:v>
      </x:c>
    </x:row>
    <x:row r="82" ht="120" customHeight="1">
      <x:c r="A82" s="33" t="str">
        <x:v>R-003</x:v>
      </x:c>
      <x:c r="B82" s="33" t="str">
        <x:v>D13</x:v>
      </x:c>
      <x:c r="C82" s="33" t="str">
        <x:v>Likelihood horizon</x:v>
      </x:c>
      <x:c r="D82" s="33" t="str">
        <x:v>Initial three months</x:v>
      </x:c>
      <x:c r="E82" s="33" t="str">
        <x:v>2020-04-01 to 2020-06-30</x:v>
      </x:c>
      <x:c r="F82" s="33" t="str">
        <x:v>Applied in project review</x:v>
      </x:c>
      <x:c r="G82" s="43" t="d">
        <x:v>2026-10-18T00:00:00.000Z</x:v>
      </x:c>
    </x:row>
    <x:row r="83" ht="120" customHeight="1">
      <x:c r="A83" s="33" t="str">
        <x:v>R-003</x:v>
      </x:c>
      <x:c r="B83" s="33" t="str">
        <x:v>D12</x:v>
      </x:c>
      <x:c r="C83" s="33" t="str">
        <x:v>Existing controls</x:v>
      </x:c>
      <x:c r="D83" s="33" t="str">
        <x:v>Financial modelling to inform resource and funding decisions.</x:v>
      </x:c>
      <x:c r="E83" s="33" t="str">
        <x:v>Assumption from Sam: financial modelling is in use for funds and expenditure. The case confirms financial activities, not this control.</x:v>
      </x:c>
      <x:c r="F83" s="33" t="str">
        <x:v>Applied in project review</x:v>
      </x:c>
      <x:c r="G83" s="43" t="d">
        <x:v>2026-10-18T00:00:00.000Z</x:v>
      </x:c>
    </x:row>
    <x:row r="84" ht="120" customHeight="1">
      <x:c r="A84" s="33" t="str">
        <x:v>R-003</x:v>
      </x:c>
      <x:c r="B84" s="33" t="str">
        <x:v>D12</x:v>
      </x:c>
      <x:c r="C84" s="33" t="str">
        <x:v>Control evidence status</x:v>
      </x:c>
      <x:c r="D84" s="33" t="str">
        <x:v>Reported in Sam’s draft; implementation and scope require verification.</x:v>
      </x:c>
      <x:c r="E84" s="33" t="str">
        <x:v>Mixed evidence: case arrangements plus explicit team assumptions; see Evidence and experience.</x:v>
      </x:c>
      <x:c r="F84" s="33" t="str">
        <x:v>Applied in project review</x:v>
      </x:c>
      <x:c r="G84" s="43" t="d">
        <x:v>2026-10-18T00:00:00.000Z</x:v>
      </x:c>
    </x:row>
    <x:row r="85" ht="120" customHeight="1">
      <x:c r="A85" s="33" t="str">
        <x:v>R-003</x:v>
      </x:c>
      <x:c r="B85" s="33" t="str">
        <x:v>D12</x:v>
      </x:c>
      <x:c r="C85" s="33" t="str">
        <x:v>Control effectiveness</x:v>
      </x:c>
      <x:c r="D85" s="33" t="str">
        <x:v>Effectiveness is not demonstrated. Evidence that budgets follow agreed priorities and delegated authority is missing.</x:v>
      </x:c>
      <x:c r="E85" s="33" t="str">
        <x:v>Modelling can identify pressure but does not provide cash, prevent losses or prove scenario coverage. Effectiveness is unverified.</x:v>
      </x:c>
      <x:c r="F85" s="33" t="str">
        <x:v>Applied in project review</x:v>
      </x:c>
      <x:c r="G85" s="43" t="d">
        <x:v>2026-10-18T00:00:00.000Z</x:v>
      </x:c>
    </x:row>
    <x:row r="86" ht="120" customHeight="1">
      <x:c r="A86" s="33" t="str">
        <x:v>R-003</x:v>
      </x:c>
      <x:c r="B86" s="33" t="str">
        <x:v>D12; D13</x:v>
      </x:c>
      <x:c r="C86" s="33" t="str">
        <x:v>Evidence and experience</x:v>
      </x:c>
      <x:c r="D86" s="33" t="str">
        <x:v>See Source Records for R-003 and Source Text for the original references. No verified internal incident history or empirical probability estimate is supplied. Historical examples require a scenario-date and relevance check before use.</x:v>
      </x:c>
      <x:c r="E86"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86" s="33" t="str">
        <x:v>Applied in project review</x:v>
      </x:c>
      <x:c r="G86" s="43" t="d">
        <x:v>2026-10-18T00:00:00.000Z</x:v>
      </x:c>
    </x:row>
    <x:row r="87" ht="120" customHeight="1">
      <x:c r="A87" s="33" t="str">
        <x:v>R-003</x:v>
      </x:c>
      <x:c r="B87" s="33" t="str">
        <x:v>D12 draft</x:v>
      </x:c>
      <x:c r="C87" s="33" t="str">
        <x:v>Tolerability</x:v>
      </x:c>
      <x:c r="D87" s="33" t="str">
        <x:v>Awaiting assessment</x:v>
      </x:c>
      <x:c r="E87" s="33" t="str">
        <x:v>Not tolerable</x:v>
      </x:c>
      <x:c r="F87" s="33" t="str">
        <x:v>Applied in project review</x:v>
      </x:c>
      <x:c r="G87" s="43" t="d">
        <x:v>2026-10-18T00:00:00.000Z</x:v>
      </x:c>
    </x:row>
    <x:row r="88" ht="120" customHeight="1">
      <x:c r="A88" s="33" t="str">
        <x:v>R-003</x:v>
      </x:c>
      <x:c r="B88" s="33" t="str">
        <x:v>D12 draft</x:v>
      </x:c>
      <x:c r="C88" s="33" t="str">
        <x:v>Tolerability reasoning</x:v>
      </x:c>
      <x:c r="D88" s="33" t="str">
        <x:v>The supplied information does not establish the remaining exposure after controls. Evidence that budgets follow agreed priorities and delegated authority is missing. A tolerability decision must consider the agreed appetite and the need to sustain resource allocation across essential functions.</x:v>
      </x:c>
      <x:c r="E88" s="33" t="str">
        <x:v>Not tolerable on the working assumption that allocation and oversight gaps leave essential priorities under-resourced. Continuing operations requires coordinated allocation, not acceptance of unmanaged misallocation.</x:v>
      </x:c>
      <x:c r="F88" s="33" t="str">
        <x:v>Applied in project review</x:v>
      </x:c>
      <x:c r="G88" s="43" t="d">
        <x:v>2026-10-18T00:00:00.000Z</x:v>
      </x:c>
    </x:row>
    <x:row r="89" ht="120" customHeight="1">
      <x:c r="A89" s="33" t="str">
        <x:v>R-003</x:v>
      </x:c>
      <x:c r="B89" s="33" t="str">
        <x:v>D14</x:v>
      </x:c>
      <x:c r="C89" s="33" t="str">
        <x:v>Risk owner</x:v>
      </x:c>
      <x:c r="D89" s="33" t="str">
        <x:v>Unassigned</x:v>
      </x:c>
      <x:c r="E89" s="33" t="str">
        <x:v>Finance Manager</x:v>
      </x:c>
      <x:c r="F89" s="33" t="str">
        <x:v>Applied in project review</x:v>
      </x:c>
      <x:c r="G89" s="43" t="d">
        <x:v>2026-10-18T00:00:00.000Z</x:v>
      </x:c>
    </x:row>
    <x:row r="90" ht="120" customHeight="1">
      <x:c r="A90" s="33" t="str">
        <x:v>R-003</x:v>
      </x:c>
      <x:c r="B90" s="33" t="str">
        <x:v>D11 / D12</x:v>
      </x:c>
      <x:c r="C90" s="33" t="str">
        <x:v>Assessment status</x:v>
      </x:c>
      <x:c r="D90" s="33" t="str">
        <x:v>Draft for review</x:v>
      </x:c>
      <x:c r="E90" s="33" t="str">
        <x:v>Revised draft for review</x:v>
      </x:c>
      <x:c r="F90" s="33" t="str">
        <x:v>Applied in project review</x:v>
      </x:c>
      <x:c r="G90" s="43" t="d">
        <x:v>2026-10-18T00:00:00.000Z</x:v>
      </x:c>
    </x:row>
    <x:row r="91" ht="120" customHeight="1">
      <x:c r="A91" s="33" t="str">
        <x:v>R-003</x:v>
      </x:c>
      <x:c r="B91" s="33" t="str">
        <x:v>D13</x:v>
      </x:c>
      <x:c r="C91" s="33" t="str">
        <x:v>Longer-term exposure</x:v>
      </x:c>
      <x:c r="D91" s="33" t="str">
        <x:v>Consequences may extend beyond three months; reassess during weekly reviews.</x:v>
      </x:c>
      <x:c r="E91" s="33" t="str">
        <x:v>Consequences may extend beyond three months; reassess during weekly reviews. Initial likelihood horizon ends 2020-06-30; later information belongs to dated reviews.</x:v>
      </x:c>
      <x:c r="F91" s="33" t="str">
        <x:v>Applied in project review</x:v>
      </x:c>
      <x:c r="G91" s="43" t="d">
        <x:v>2026-10-18T00:00:00.000Z</x:v>
      </x:c>
    </x:row>
    <x:row r="92" ht="120" customHeight="1">
      <x:c r="A92" s="33" t="str">
        <x:v>R-003</x:v>
      </x:c>
      <x:c r="B92" s="33" t="str">
        <x:v>Review batch</x:v>
      </x:c>
      <x:c r="C92" s="33" t="str">
        <x:v>Revision notes</x:v>
      </x:c>
      <x:c r="D92" s="33" t="str">
        <x:v>Cause, event and impact separated; wording aligned to pandemic onset. Source evidence and controls remain unverified. Proposed code F2-P-01 to F2-G-01 based on primary cause or index placement. Proposed scores 4/3 to 3/4; see assessment reasoning. D01: Chris approved the Governance and Processes classification on 2026-10-18 (project review). Scores and other assessments remain provisional.</x:v>
      </x:c>
      <x:c r="E92" s="33" t="str">
        <x:v>Cause, event and impact separated; wording aligned to pandemic onset. Source evidence and controls remain unverified. Proposed code F2-P-01 to F2-G-01 based on primary cause or index placement. Proposed scores 4/3 to 3/4; see assessment reasoning. D01: Chris approved the Governance and Processes classification on 2026-10-18 (project review). Scores and other assessments remain provisional. Decisions applied: D01; D12–D14. See Decision Log for specific before/after values.</x:v>
      </x:c>
      <x:c r="F92" s="33" t="str">
        <x:v>Applied in project review</x:v>
      </x:c>
      <x:c r="G92" s="43" t="d">
        <x:v>2026-10-18T00:00:00.000Z</x:v>
      </x:c>
    </x:row>
    <x:row r="93" ht="120" customHeight="1">
      <x:c r="A93" s="33" t="str">
        <x:v>R-004</x:v>
      </x:c>
      <x:c r="B93" s="33" t="str">
        <x:v>D13</x:v>
      </x:c>
      <x:c r="C93" s="33" t="str">
        <x:v>Likelihood horizon</x:v>
      </x:c>
      <x:c r="D93" s="33" t="str">
        <x:v>Initial three months</x:v>
      </x:c>
      <x:c r="E93" s="33" t="str">
        <x:v>2020-04-01 to 2020-06-30</x:v>
      </x:c>
      <x:c r="F93" s="33" t="str">
        <x:v>Applied in project review</x:v>
      </x:c>
      <x:c r="G93" s="43" t="d">
        <x:v>2026-10-18T00:00:00.000Z</x:v>
      </x:c>
    </x:row>
    <x:row r="94" ht="120" customHeight="1">
      <x:c r="A94" s="33" t="str">
        <x:v>R-004</x:v>
      </x:c>
      <x:c r="B94" s="33" t="str">
        <x:v>D12</x:v>
      </x:c>
      <x:c r="C94" s="33" t="str">
        <x:v>Existing controls</x:v>
      </x:c>
      <x:c r="D94" s="33" t="str">
        <x:v>Financial modelling to inform resource and funding decisions.</x:v>
      </x:c>
      <x:c r="E94" s="33" t="str">
        <x:v>Assumption from Sam: financial modelling is in use for funds and expenditure. The case confirms financial activities, not this control.</x:v>
      </x:c>
      <x:c r="F94" s="33" t="str">
        <x:v>Applied in project review</x:v>
      </x:c>
      <x:c r="G94" s="43" t="d">
        <x:v>2026-10-18T00:00:00.000Z</x:v>
      </x:c>
    </x:row>
    <x:row r="95" ht="120" customHeight="1">
      <x:c r="A95" s="33" t="str">
        <x:v>R-004</x:v>
      </x:c>
      <x:c r="B95" s="33" t="str">
        <x:v>D12</x:v>
      </x:c>
      <x:c r="C95" s="33" t="str">
        <x:v>Control evidence status</x:v>
      </x:c>
      <x:c r="D95" s="33" t="str">
        <x:v>Reported in Sam’s draft; implementation and scope require verification.</x:v>
      </x:c>
      <x:c r="E95" s="33" t="str">
        <x:v>Mixed evidence: case arrangements plus explicit team assumptions; see Evidence and experience.</x:v>
      </x:c>
      <x:c r="F95" s="33" t="str">
        <x:v>Applied in project review</x:v>
      </x:c>
      <x:c r="G95" s="43" t="d">
        <x:v>2026-10-18T00:00:00.000Z</x:v>
      </x:c>
    </x:row>
    <x:row r="96" ht="120" customHeight="1">
      <x:c r="A96" s="33" t="str">
        <x:v>R-004</x:v>
      </x:c>
      <x:c r="B96" s="33" t="str">
        <x:v>D12</x:v>
      </x:c>
      <x:c r="C96" s="33" t="str">
        <x:v>Control effectiveness</x:v>
      </x:c>
      <x:c r="D96" s="33" t="str">
        <x:v>Effectiveness is not demonstrated. Cash forecasts, asset liquidity, planned sales and alternative funding need confirmation.</x:v>
      </x:c>
      <x:c r="E96" s="33" t="str">
        <x:v>Modelling can identify pressure but does not provide cash, prevent losses or prove scenario coverage. Effectiveness is unverified.</x:v>
      </x:c>
      <x:c r="F96" s="33" t="str">
        <x:v>Applied in project review</x:v>
      </x:c>
      <x:c r="G96" s="43" t="d">
        <x:v>2026-10-18T00:00:00.000Z</x:v>
      </x:c>
    </x:row>
    <x:row r="97" ht="120" customHeight="1">
      <x:c r="A97" s="33" t="str">
        <x:v>R-004</x:v>
      </x:c>
      <x:c r="B97" s="33" t="str">
        <x:v>D12; D13</x:v>
      </x:c>
      <x:c r="C97" s="33" t="str">
        <x:v>Evidence and experience</x:v>
      </x:c>
      <x:c r="D97" s="33" t="str">
        <x:v>See Source Records for R-004 and Source Text for the original references. No verified internal incident history or empirical probability estimate is supplied. Historical examples require a scenario-date and relevance check before use.</x:v>
      </x:c>
      <x:c r="E97"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97" s="33" t="str">
        <x:v>Applied in project review</x:v>
      </x:c>
      <x:c r="G97" s="43" t="d">
        <x:v>2026-10-18T00:00:00.000Z</x:v>
      </x:c>
    </x:row>
    <x:row r="98" ht="120" customHeight="1">
      <x:c r="A98" s="33" t="str">
        <x:v>R-004</x:v>
      </x:c>
      <x:c r="B98" s="33" t="str">
        <x:v>D12 draft</x:v>
      </x:c>
      <x:c r="C98" s="33" t="str">
        <x:v>Tolerability reasoning</x:v>
      </x:c>
      <x:c r="D98" s="33" t="str">
        <x:v>The supplied information does not establish the remaining exposure after controls. Cash forecasts, asset liquidity, planned sales and alternative funding need confirmation. A tolerability decision must consider the agreed appetite and the need to sustain claims liquidity.</x:v>
      </x:c>
      <x:c r="E98" s="33" t="str">
        <x:v>Awaiting assessment: the case does not quantify the exposure and available financial capacity sufficiently to decide whether the remaining risk fits appetite. Cash forecasts, asset liquidity, planned sales and alternative funding need confirmation. Continued operations require this assessment; a High or Extreme inherent rating alone is not a tolerability decision.</x:v>
      </x:c>
      <x:c r="F98" s="33" t="str">
        <x:v>Applied in project review</x:v>
      </x:c>
      <x:c r="G98" s="43" t="d">
        <x:v>2026-10-18T00:00:00.000Z</x:v>
      </x:c>
    </x:row>
    <x:row r="99" ht="120" customHeight="1">
      <x:c r="A99" s="33" t="str">
        <x:v>R-004</x:v>
      </x:c>
      <x:c r="B99" s="33" t="str">
        <x:v>D14</x:v>
      </x:c>
      <x:c r="C99" s="33" t="str">
        <x:v>Risk owner</x:v>
      </x:c>
      <x:c r="D99" s="33" t="str">
        <x:v>Unassigned</x:v>
      </x:c>
      <x:c r="E99" s="33" t="str">
        <x:v>Finance Manager</x:v>
      </x:c>
      <x:c r="F99" s="33" t="str">
        <x:v>Applied in project review</x:v>
      </x:c>
      <x:c r="G99" s="43" t="d">
        <x:v>2026-10-18T00:00:00.000Z</x:v>
      </x:c>
    </x:row>
    <x:row r="100" ht="120" customHeight="1">
      <x:c r="A100" s="33" t="str">
        <x:v>R-004</x:v>
      </x:c>
      <x:c r="B100" s="33" t="str">
        <x:v>D11 / D12</x:v>
      </x:c>
      <x:c r="C100" s="33" t="str">
        <x:v>Assessment status</x:v>
      </x:c>
      <x:c r="D100" s="33" t="str">
        <x:v>Draft for review</x:v>
      </x:c>
      <x:c r="E100" s="33" t="str">
        <x:v>Revised draft for review</x:v>
      </x:c>
      <x:c r="F100" s="33" t="str">
        <x:v>Applied in project review</x:v>
      </x:c>
      <x:c r="G100" s="43" t="d">
        <x:v>2026-10-18T00:00:00.000Z</x:v>
      </x:c>
    </x:row>
    <x:row r="101" ht="120" customHeight="1">
      <x:c r="A101" s="33" t="str">
        <x:v>R-004</x:v>
      </x:c>
      <x:c r="B101" s="33" t="str">
        <x:v>D13</x:v>
      </x:c>
      <x:c r="C101" s="33" t="str">
        <x:v>Longer-term exposure</x:v>
      </x:c>
      <x:c r="D101" s="33" t="str">
        <x:v>Consequences may extend beyond three months; reassess during weekly reviews.</x:v>
      </x:c>
      <x:c r="E101" s="33" t="str">
        <x:v>Consequences may extend beyond three months; reassess during weekly reviews. Initial likelihood horizon ends 2020-06-30; later information belongs to dated reviews.</x:v>
      </x:c>
      <x:c r="F101" s="33" t="str">
        <x:v>Applied in project review</x:v>
      </x:c>
      <x:c r="G101" s="43" t="d">
        <x:v>2026-10-18T00:00:00.000Z</x:v>
      </x:c>
    </x:row>
    <x:row r="102" ht="120" customHeight="1">
      <x:c r="A102" s="33" t="str">
        <x:v>R-004</x:v>
      </x:c>
      <x:c r="B102" s="33" t="str">
        <x:v>Review batch</x:v>
      </x:c>
      <x:c r="C102" s="33" t="str">
        <x:v>Revision notes</x:v>
      </x:c>
      <x:c r="D102" s="33" t="str">
        <x:v>Cause, event and impact separated; wording aligned to pandemic onset. Source evidence and controls remain unverified.</x:v>
      </x:c>
      <x:c r="E102" s="33" t="str">
        <x:v>Cause, event and impact separated; wording aligned to pandemic onset. Source evidence and controls remain unverified. Decisions applied: D11; D12–D14. See Decision Log for specific before/after values.</x:v>
      </x:c>
      <x:c r="F102" s="33" t="str">
        <x:v>Applied in project review</x:v>
      </x:c>
      <x:c r="G102" s="43" t="d">
        <x:v>2026-10-18T00:00:00.000Z</x:v>
      </x:c>
    </x:row>
    <x:row r="103" ht="120" customHeight="1">
      <x:c r="A103" s="33" t="str">
        <x:v>R-005</x:v>
      </x:c>
      <x:c r="B103" s="33" t="str">
        <x:v>D13</x:v>
      </x:c>
      <x:c r="C103" s="33" t="str">
        <x:v>Likelihood horizon</x:v>
      </x:c>
      <x:c r="D103" s="33" t="str">
        <x:v>Initial three months</x:v>
      </x:c>
      <x:c r="E103" s="33" t="str">
        <x:v>2020-04-01 to 2020-06-30</x:v>
      </x:c>
      <x:c r="F103" s="33" t="str">
        <x:v>Applied in project review</x:v>
      </x:c>
      <x:c r="G103" s="43" t="d">
        <x:v>2026-10-18T00:00:00.000Z</x:v>
      </x:c>
    </x:row>
    <x:row r="104" ht="120" customHeight="1">
      <x:c r="A104" s="33" t="str">
        <x:v>R-005</x:v>
      </x:c>
      <x:c r="B104" s="33" t="str">
        <x:v>D12</x:v>
      </x:c>
      <x:c r="C104" s="33" t="str">
        <x:v>Existing controls</x:v>
      </x:c>
      <x:c r="D104" s="33" t="str">
        <x:v>Operational audit trails and retained processing records.</x:v>
      </x:c>
      <x:c r="E104" s="33" t="str">
        <x:v>Case: record keeping and database administration. Assumption from Sam: an operational audit trail is maintained.</x:v>
      </x:c>
      <x:c r="F104" s="33" t="str">
        <x:v>Applied in project review</x:v>
      </x:c>
      <x:c r="G104" s="43" t="d">
        <x:v>2026-10-18T00:00:00.000Z</x:v>
      </x:c>
    </x:row>
    <x:row r="105" ht="120" customHeight="1">
      <x:c r="A105" s="33" t="str">
        <x:v>R-005</x:v>
      </x:c>
      <x:c r="B105" s="33" t="str">
        <x:v>D12</x:v>
      </x:c>
      <x:c r="C105" s="33" t="str">
        <x:v>Control evidence status</x:v>
      </x:c>
      <x:c r="D105" s="33" t="str">
        <x:v>Reported in Sam’s draft; implementation and scope require verification.</x:v>
      </x:c>
      <x:c r="E105" s="33" t="str">
        <x:v>Mixed evidence: case arrangements plus explicit team assumptions; see Evidence and experience.</x:v>
      </x:c>
      <x:c r="F105" s="33" t="str">
        <x:v>Applied in project review</x:v>
      </x:c>
      <x:c r="G105" s="43" t="d">
        <x:v>2026-10-18T00:00:00.000Z</x:v>
      </x:c>
    </x:row>
    <x:row r="106" ht="120" customHeight="1">
      <x:c r="A106" s="33" t="str">
        <x:v>R-005</x:v>
      </x:c>
      <x:c r="B106" s="33" t="str">
        <x:v>D12</x:v>
      </x:c>
      <x:c r="C106" s="33" t="str">
        <x:v>Control effectiveness</x:v>
      </x:c>
      <x:c r="D106" s="33" t="str">
        <x:v>An audit trail supports detection and investigation but does not establish prevention of this event. Payout authorization, segregation of duties and fraud detection are not evidenced in the submissions.</x:v>
      </x:c>
      <x:c r="E106" s="33" t="str">
        <x:v>Records support detection and investigation. They do not demonstrate preventive approval, fraud detection or counterparty protection.</x:v>
      </x:c>
      <x:c r="F106" s="33" t="str">
        <x:v>Applied in project review</x:v>
      </x:c>
      <x:c r="G106" s="43" t="d">
        <x:v>2026-10-18T00:00:00.000Z</x:v>
      </x:c>
    </x:row>
    <x:row r="107" ht="120" customHeight="1">
      <x:c r="A107" s="33" t="str">
        <x:v>R-005</x:v>
      </x:c>
      <x:c r="B107" s="33" t="str">
        <x:v>D12; D13</x:v>
      </x:c>
      <x:c r="C107" s="33" t="str">
        <x:v>Evidence and experience</x:v>
      </x:c>
      <x:c r="D107" s="33" t="str">
        <x:v>See Source Records for R-005 and Source Text for the original references. No verified internal incident history or empirical probability estimate is supplied. Historical examples require a scenario-date and relevance check before use.</x:v>
      </x:c>
      <x:c r="E107" s="33"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F107" s="33" t="str">
        <x:v>Applied in project review</x:v>
      </x:c>
      <x:c r="G107" s="43" t="d">
        <x:v>2026-10-18T00:00:00.000Z</x:v>
      </x:c>
    </x:row>
    <x:row r="108" ht="120" customHeight="1">
      <x:c r="A108" s="33" t="str">
        <x:v>R-005</x:v>
      </x:c>
      <x:c r="B108" s="33" t="str">
        <x:v>D12 draft</x:v>
      </x:c>
      <x:c r="C108" s="33" t="str">
        <x:v>Tolerability</x:v>
      </x:c>
      <x:c r="D108" s="33" t="str">
        <x:v>Awaiting assessment</x:v>
      </x:c>
      <x:c r="E108" s="33" t="str">
        <x:v>Not tolerable</x:v>
      </x:c>
      <x:c r="F108" s="33" t="str">
        <x:v>Applied in project review</x:v>
      </x:c>
      <x:c r="G108" s="43" t="d">
        <x:v>2026-10-18T00:00:00.000Z</x:v>
      </x:c>
    </x:row>
    <x:row r="109" ht="120" customHeight="1">
      <x:c r="A109" s="33" t="str">
        <x:v>R-005</x:v>
      </x:c>
      <x:c r="B109" s="33" t="str">
        <x:v>D12 draft</x:v>
      </x:c>
      <x:c r="C109" s="33" t="str">
        <x:v>Tolerability reasoning</x:v>
      </x:c>
      <x:c r="D109" s="33" t="str">
        <x:v>The supplied information does not establish the remaining exposure after controls. Payout authorization, segregation of duties and fraud detection are not evidenced in the submissions. A tolerability decision must consider the agreed appetite and the need to sustain accurate claims payments and customer information.</x:v>
      </x:c>
      <x:c r="E109" s="33" t="str">
        <x:v>Not tolerable on the assumption that material verification and payout-approval weaknesses persist. Basic records alone do not support accepting avoidable material fraud while claims payments continue.</x:v>
      </x:c>
      <x:c r="F109" s="33" t="str">
        <x:v>Applied in project review</x:v>
      </x:c>
      <x:c r="G109" s="43" t="d">
        <x:v>2026-10-18T00:00:00.000Z</x:v>
      </x:c>
    </x:row>
    <x:row r="110" ht="120" customHeight="1">
      <x:c r="A110" s="33" t="str">
        <x:v>R-005</x:v>
      </x:c>
      <x:c r="B110" s="33" t="str">
        <x:v>D14</x:v>
      </x:c>
      <x:c r="C110" s="33" t="str">
        <x:v>Risk owner</x:v>
      </x:c>
      <x:c r="D110" s="33" t="str">
        <x:v>Unassigned</x:v>
      </x:c>
      <x:c r="E110" s="33" t="str">
        <x:v>Claims Manager</x:v>
      </x:c>
      <x:c r="F110" s="33" t="str">
        <x:v>Applied in project review</x:v>
      </x:c>
      <x:c r="G110" s="43" t="d">
        <x:v>2026-10-18T00:00:00.000Z</x:v>
      </x:c>
    </x:row>
    <x:row r="111" ht="120" customHeight="1">
      <x:c r="A111" s="33" t="str">
        <x:v>R-005</x:v>
      </x:c>
      <x:c r="B111" s="33" t="str">
        <x:v>D11 / D12</x:v>
      </x:c>
      <x:c r="C111" s="33" t="str">
        <x:v>Assessment status</x:v>
      </x:c>
      <x:c r="D111" s="33" t="str">
        <x:v>Draft for review</x:v>
      </x:c>
      <x:c r="E111" s="33" t="str">
        <x:v>Revised draft for review</x:v>
      </x:c>
      <x:c r="F111" s="33" t="str">
        <x:v>Applied in project review</x:v>
      </x:c>
      <x:c r="G111" s="43" t="d">
        <x:v>2026-10-18T00:00:00.000Z</x:v>
      </x:c>
    </x:row>
    <x:row r="112" ht="120" customHeight="1">
      <x:c r="A112" s="33" t="str">
        <x:v>R-005</x:v>
      </x:c>
      <x:c r="B112" s="33" t="str">
        <x:v>D13</x:v>
      </x:c>
      <x:c r="C112" s="33" t="str">
        <x:v>Longer-term exposure</x:v>
      </x:c>
      <x:c r="D112" s="33" t="str">
        <x:v>Consequences may extend beyond three months; reassess during weekly reviews.</x:v>
      </x:c>
      <x:c r="E112" s="33" t="str">
        <x:v>Consequences may extend beyond three months; reassess during weekly reviews. Initial likelihood horizon ends 2020-06-30; later information belongs to dated reviews.</x:v>
      </x:c>
      <x:c r="F112" s="33" t="str">
        <x:v>Applied in project review</x:v>
      </x:c>
      <x:c r="G112" s="43" t="d">
        <x:v>2026-10-18T00:00:00.000Z</x:v>
      </x:c>
    </x:row>
    <x:row r="113" ht="120" customHeight="1">
      <x:c r="A113" s="33" t="str">
        <x:v>R-005</x:v>
      </x:c>
      <x:c r="B113" s="33" t="str">
        <x:v>Review batch</x:v>
      </x:c>
      <x:c r="C113" s="33" t="str">
        <x:v>Revision notes</x:v>
      </x:c>
      <x:c r="D113" s="33" t="str">
        <x:v>Cause, event and impact separated; wording aligned to pandemic onset. Source evidence and controls remain unverified. Proposed code F3-T-01 to F3-C-01 based on primary cause or index placement.</x:v>
      </x:c>
      <x:c r="E113" s="33" t="str">
        <x:v>Cause, event and impact separated; wording aligned to pandemic onset. Source evidence and controls remain unverified. Proposed code F3-T-01 to F3-C-01 based on primary cause or index placement. Decisions applied: D02; D12–D14. See Decision Log for specific before/after values.</x:v>
      </x:c>
      <x:c r="F113" s="33" t="str">
        <x:v>Applied in project review</x:v>
      </x:c>
      <x:c r="G113" s="43" t="d">
        <x:v>2026-10-18T00:00:00.000Z</x:v>
      </x:c>
    </x:row>
    <x:row r="114" ht="120" customHeight="1">
      <x:c r="A114" s="33" t="str">
        <x:v>R-006</x:v>
      </x:c>
      <x:c r="B114" s="33" t="str">
        <x:v>D13</x:v>
      </x:c>
      <x:c r="C114" s="33" t="str">
        <x:v>Likelihood horizon</x:v>
      </x:c>
      <x:c r="D114" s="33" t="str">
        <x:v>Initial three months</x:v>
      </x:c>
      <x:c r="E114" s="33" t="str">
        <x:v>2020-04-01 to 2020-06-30</x:v>
      </x:c>
      <x:c r="F114" s="33" t="str">
        <x:v>Applied in project review</x:v>
      </x:c>
      <x:c r="G114" s="43" t="d">
        <x:v>2026-10-18T00:00:00.000Z</x:v>
      </x:c>
    </x:row>
    <x:row r="115" ht="120" customHeight="1">
      <x:c r="A115" s="33" t="str">
        <x:v>R-006</x:v>
      </x:c>
      <x:c r="B115" s="33" t="str">
        <x:v>D12</x:v>
      </x:c>
      <x:c r="C115" s="33" t="str">
        <x:v>Existing controls</x:v>
      </x:c>
      <x:c r="D115" s="33" t="str">
        <x:v>Operational audit trails and retained processing records.</x:v>
      </x:c>
      <x:c r="E115" s="33" t="str">
        <x:v>Case: record keeping and database administration. Assumption from Sam: an operational audit trail is maintained.</x:v>
      </x:c>
      <x:c r="F115" s="33" t="str">
        <x:v>Applied in project review</x:v>
      </x:c>
      <x:c r="G115" s="43" t="d">
        <x:v>2026-10-18T00:00:00.000Z</x:v>
      </x:c>
    </x:row>
    <x:row r="116" ht="120" customHeight="1">
      <x:c r="A116" s="33" t="str">
        <x:v>R-006</x:v>
      </x:c>
      <x:c r="B116" s="33" t="str">
        <x:v>D12</x:v>
      </x:c>
      <x:c r="C116" s="33" t="str">
        <x:v>Control evidence status</x:v>
      </x:c>
      <x:c r="D116" s="33" t="str">
        <x:v>Reported in Sam’s draft; implementation and scope require verification.</x:v>
      </x:c>
      <x:c r="E116" s="33" t="str">
        <x:v>Mixed evidence: case arrangements plus explicit team assumptions; see Evidence and experience.</x:v>
      </x:c>
      <x:c r="F116" s="33" t="str">
        <x:v>Applied in project review</x:v>
      </x:c>
      <x:c r="G116" s="43" t="d">
        <x:v>2026-10-18T00:00:00.000Z</x:v>
      </x:c>
    </x:row>
    <x:row r="117" ht="120" customHeight="1">
      <x:c r="A117" s="33" t="str">
        <x:v>R-006</x:v>
      </x:c>
      <x:c r="B117" s="33" t="str">
        <x:v>D12</x:v>
      </x:c>
      <x:c r="C117" s="33" t="str">
        <x:v>Control effectiveness</x:v>
      </x:c>
      <x:c r="D117" s="33" t="str">
        <x:v>An audit trail supports detection and investigation but does not establish prevention of this event. Control responsibilities, supplier assurance and operating evidence need verification.</x:v>
      </x:c>
      <x:c r="E117" s="33" t="str">
        <x:v>Records support detection and investigation. They do not demonstrate preventive approval, fraud detection or counterparty protection.</x:v>
      </x:c>
      <x:c r="F117" s="33" t="str">
        <x:v>Applied in project review</x:v>
      </x:c>
      <x:c r="G117" s="43" t="d">
        <x:v>2026-10-18T00:00:00.000Z</x:v>
      </x:c>
    </x:row>
    <x:row r="118" ht="120" customHeight="1">
      <x:c r="A118" s="33" t="str">
        <x:v>R-006</x:v>
      </x:c>
      <x:c r="B118" s="33" t="str">
        <x:v>D12; D13</x:v>
      </x:c>
      <x:c r="C118" s="33" t="str">
        <x:v>Evidence and experience</x:v>
      </x:c>
      <x:c r="D118" s="33" t="str">
        <x:v>See Source Records for R-006 and Source Text for the original references. No verified internal incident history or empirical probability estimate is supplied. Historical examples require a scenario-date and relevance check before use.</x:v>
      </x:c>
      <x:c r="E118" s="33"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F118" s="33" t="str">
        <x:v>Applied in project review</x:v>
      </x:c>
      <x:c r="G118" s="43" t="d">
        <x:v>2026-10-18T00:00:00.000Z</x:v>
      </x:c>
    </x:row>
    <x:row r="119" ht="120" customHeight="1">
      <x:c r="A119" s="33" t="str">
        <x:v>R-006</x:v>
      </x:c>
      <x:c r="B119" s="33" t="str">
        <x:v>D12 draft</x:v>
      </x:c>
      <x:c r="C119" s="33" t="str">
        <x:v>Tolerability</x:v>
      </x:c>
      <x:c r="D119" s="33" t="str">
        <x:v>Awaiting assessment</x:v>
      </x:c>
      <x:c r="E119" s="33" t="str">
        <x:v>Not tolerable</x:v>
      </x:c>
      <x:c r="F119" s="33" t="str">
        <x:v>Applied in project review</x:v>
      </x:c>
      <x:c r="G119" s="43" t="d">
        <x:v>2026-10-18T00:00:00.000Z</x:v>
      </x:c>
    </x:row>
    <x:row r="120" ht="120" customHeight="1">
      <x:c r="A120" s="33" t="str">
        <x:v>R-006</x:v>
      </x:c>
      <x:c r="B120" s="33" t="str">
        <x:v>D12 draft</x:v>
      </x:c>
      <x:c r="C120" s="33" t="str">
        <x:v>Tolerability reasoning</x:v>
      </x:c>
      <x:c r="D120" s="33" t="str">
        <x:v>The supplied information does not establish the remaining exposure after controls. Control responsibilities, supplier assurance and operating evidence need verification. A tolerability decision must consider the agreed appetite and the need to sustain reliable third-party controls.</x:v>
      </x:c>
      <x:c r="E120" s="33" t="str">
        <x:v>Not tolerable on the assumption that critical outsourced controls lack effective oversight. Provider involvement does not remove ITrustU’s accountability for material failures.</x:v>
      </x:c>
      <x:c r="F120" s="33" t="str">
        <x:v>Applied in project review</x:v>
      </x:c>
      <x:c r="G120" s="43" t="d">
        <x:v>2026-10-18T00:00:00.000Z</x:v>
      </x:c>
    </x:row>
    <x:row r="121" ht="120" customHeight="1">
      <x:c r="A121" s="33" t="str">
        <x:v>R-006</x:v>
      </x:c>
      <x:c r="B121" s="33" t="str">
        <x:v>D14</x:v>
      </x:c>
      <x:c r="C121" s="33" t="str">
        <x:v>Risk owner</x:v>
      </x:c>
      <x:c r="D121" s="33" t="str">
        <x:v>Unassigned</x:v>
      </x:c>
      <x:c r="E121" s="33" t="str">
        <x:v>Finance Manager</x:v>
      </x:c>
      <x:c r="F121" s="33" t="str">
        <x:v>Applied in project review</x:v>
      </x:c>
      <x:c r="G121" s="43" t="d">
        <x:v>2026-10-18T00:00:00.000Z</x:v>
      </x:c>
    </x:row>
    <x:row r="122" ht="120" customHeight="1">
      <x:c r="A122" s="33" t="str">
        <x:v>R-006</x:v>
      </x:c>
      <x:c r="B122" s="33" t="str">
        <x:v>D11 / D12</x:v>
      </x:c>
      <x:c r="C122" s="33" t="str">
        <x:v>Assessment status</x:v>
      </x:c>
      <x:c r="D122" s="33" t="str">
        <x:v>Draft for review</x:v>
      </x:c>
      <x:c r="E122" s="33" t="str">
        <x:v>Revised draft for review</x:v>
      </x:c>
      <x:c r="F122" s="33" t="str">
        <x:v>Applied in project review</x:v>
      </x:c>
      <x:c r="G122" s="43" t="d">
        <x:v>2026-10-18T00:00:00.000Z</x:v>
      </x:c>
    </x:row>
    <x:row r="123" ht="120" customHeight="1">
      <x:c r="A123" s="33" t="str">
        <x:v>R-006</x:v>
      </x:c>
      <x:c r="B123" s="33" t="str">
        <x:v>D13</x:v>
      </x:c>
      <x:c r="C123" s="33" t="str">
        <x:v>Longer-term exposure</x:v>
      </x:c>
      <x:c r="D123" s="33" t="str">
        <x:v>Consequences may extend beyond three months; reassess during weekly reviews.</x:v>
      </x:c>
      <x:c r="E123" s="33" t="str">
        <x:v>Consequences may extend beyond three months; reassess during weekly reviews. Initial likelihood horizon ends 2020-06-30; later information belongs to dated reviews.</x:v>
      </x:c>
      <x:c r="F123" s="33" t="str">
        <x:v>Applied in project review</x:v>
      </x:c>
      <x:c r="G123" s="43" t="d">
        <x:v>2026-10-18T00:00:00.000Z</x:v>
      </x:c>
    </x:row>
    <x:row r="124" ht="120" customHeight="1">
      <x:c r="A124" s="33" t="str">
        <x:v>R-006</x:v>
      </x:c>
      <x:c r="B124" s="33" t="str">
        <x:v>Review batch</x:v>
      </x:c>
      <x:c r="C124" s="33" t="str">
        <x:v>Revision notes</x:v>
      </x:c>
      <x:c r="D124" s="33" t="str">
        <x:v>Cause, event and impact separated; wording aligned to pandemic onset. Source evidence and controls remain unverified. Proposed scores 4/3 to 3/4; see assessment reasoning.</x:v>
      </x:c>
      <x:c r="E124" s="33" t="str">
        <x:v>Cause, event and impact separated; wording aligned to pandemic onset. Source evidence and controls remain unverified. Proposed scores 4/3 to 3/4; see assessment reasoning. Decisions applied: D11; D12–D14. See Decision Log for specific before/after values.</x:v>
      </x:c>
      <x:c r="F124" s="33" t="str">
        <x:v>Applied in project review</x:v>
      </x:c>
      <x:c r="G124" s="43" t="d">
        <x:v>2026-10-18T00:00:00.000Z</x:v>
      </x:c>
    </x:row>
    <x:row r="125" ht="120" customHeight="1">
      <x:c r="A125" s="33" t="str">
        <x:v>R-007</x:v>
      </x:c>
      <x:c r="B125" s="33" t="str">
        <x:v>D13</x:v>
      </x:c>
      <x:c r="C125" s="33" t="str">
        <x:v>Likelihood horizon</x:v>
      </x:c>
      <x:c r="D125" s="33" t="str">
        <x:v>Initial three months</x:v>
      </x:c>
      <x:c r="E125" s="33" t="str">
        <x:v>2020-04-01 to 2020-06-30</x:v>
      </x:c>
      <x:c r="F125" s="33" t="str">
        <x:v>Applied in project review</x:v>
      </x:c>
      <x:c r="G125" s="43" t="d">
        <x:v>2026-10-18T00:00:00.000Z</x:v>
      </x:c>
    </x:row>
    <x:row r="126" ht="120" customHeight="1">
      <x:c r="A126" s="33" t="str">
        <x:v>R-007</x:v>
      </x:c>
      <x:c r="B126" s="33" t="str">
        <x:v>D12</x:v>
      </x:c>
      <x:c r="C126" s="33" t="str">
        <x:v>Existing controls</x:v>
      </x:c>
      <x:c r="D126" s="33" t="str">
        <x:v>Operational audit trails and retained processing records.</x:v>
      </x:c>
      <x:c r="E126" s="33" t="str">
        <x:v>Case: record keeping and database administration. Assumption from Sam: an operational audit trail is maintained.</x:v>
      </x:c>
      <x:c r="F126" s="33" t="str">
        <x:v>Applied in project review</x:v>
      </x:c>
      <x:c r="G126" s="43" t="d">
        <x:v>2026-10-18T00:00:00.000Z</x:v>
      </x:c>
    </x:row>
    <x:row r="127" ht="120" customHeight="1">
      <x:c r="A127" s="33" t="str">
        <x:v>R-007</x:v>
      </x:c>
      <x:c r="B127" s="33" t="str">
        <x:v>D12</x:v>
      </x:c>
      <x:c r="C127" s="33" t="str">
        <x:v>Control evidence status</x:v>
      </x:c>
      <x:c r="D127" s="33" t="str">
        <x:v>Reported in Sam’s draft; implementation and scope require verification.</x:v>
      </x:c>
      <x:c r="E127" s="33" t="str">
        <x:v>Mixed evidence: case arrangements plus explicit team assumptions; see Evidence and experience.</x:v>
      </x:c>
      <x:c r="F127" s="33" t="str">
        <x:v>Applied in project review</x:v>
      </x:c>
      <x:c r="G127" s="43" t="d">
        <x:v>2026-10-18T00:00:00.000Z</x:v>
      </x:c>
    </x:row>
    <x:row r="128" ht="120" customHeight="1">
      <x:c r="A128" s="33" t="str">
        <x:v>R-007</x:v>
      </x:c>
      <x:c r="B128" s="33" t="str">
        <x:v>D12</x:v>
      </x:c>
      <x:c r="C128" s="33" t="str">
        <x:v>Control effectiveness</x:v>
      </x:c>
      <x:c r="D128" s="33" t="str">
        <x:v>An audit trail supports detection and investigation but does not establish prevention of this event. Bank arrangements, reconciliations, concentration and liquidity buffers are unverified.</x:v>
      </x:c>
      <x:c r="E128" s="33" t="str">
        <x:v>Records support detection and investigation. They do not demonstrate preventive approval, fraud detection or counterparty protection.</x:v>
      </x:c>
      <x:c r="F128" s="33" t="str">
        <x:v>Applied in project review</x:v>
      </x:c>
      <x:c r="G128" s="43" t="d">
        <x:v>2026-10-18T00:00:00.000Z</x:v>
      </x:c>
    </x:row>
    <x:row r="129" ht="120" customHeight="1">
      <x:c r="A129" s="33" t="str">
        <x:v>R-007</x:v>
      </x:c>
      <x:c r="B129" s="33" t="str">
        <x:v>D12; D13</x:v>
      </x:c>
      <x:c r="C129" s="33" t="str">
        <x:v>Evidence and experience</x:v>
      </x:c>
      <x:c r="D129" s="33" t="str">
        <x:v>See Source Records for R-007 and Source Text for the original references. No verified internal incident history or empirical probability estimate is supplied. Historical examples require a scenario-date and relevance check before use.</x:v>
      </x:c>
      <x:c r="E129" s="33"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F129" s="33" t="str">
        <x:v>Applied in project review</x:v>
      </x:c>
      <x:c r="G129" s="43" t="d">
        <x:v>2026-10-18T00:00:00.000Z</x:v>
      </x:c>
    </x:row>
    <x:row r="130" ht="120" customHeight="1">
      <x:c r="A130" s="33" t="str">
        <x:v>R-007</x:v>
      </x:c>
      <x:c r="B130" s="33" t="str">
        <x:v>D12 draft</x:v>
      </x:c>
      <x:c r="C130" s="33" t="str">
        <x:v>Tolerability reasoning</x:v>
      </x:c>
      <x:c r="D130" s="33" t="str">
        <x:v>The supplied information does not establish the remaining exposure after controls. Bank arrangements, reconciliations, concentration and liquidity buffers are unverified. A tolerability decision must consider the agreed appetite and the need to sustain premium cash inflow.</x:v>
      </x:c>
      <x:c r="E130" s="33" t="str">
        <x:v>Awaiting assessment: the case does not quantify the exposure and available financial capacity sufficiently to decide whether the remaining risk fits appetite. Bank arrangements, reconciliations, concentration and liquidity buffers are unverified. Continued operations require this assessment; a High or Extreme inherent rating alone is not a tolerability decision.</x:v>
      </x:c>
      <x:c r="F130" s="33" t="str">
        <x:v>Applied in project review</x:v>
      </x:c>
      <x:c r="G130" s="43" t="d">
        <x:v>2026-10-18T00:00:00.000Z</x:v>
      </x:c>
    </x:row>
    <x:row r="131" ht="120" customHeight="1">
      <x:c r="A131" s="33" t="str">
        <x:v>R-007</x:v>
      </x:c>
      <x:c r="B131" s="33" t="str">
        <x:v>D14</x:v>
      </x:c>
      <x:c r="C131" s="33" t="str">
        <x:v>Risk owner</x:v>
      </x:c>
      <x:c r="D131" s="33" t="str">
        <x:v>Unassigned</x:v>
      </x:c>
      <x:c r="E131" s="33" t="str">
        <x:v>Finance Manager</x:v>
      </x:c>
      <x:c r="F131" s="33" t="str">
        <x:v>Applied in project review</x:v>
      </x:c>
      <x:c r="G131" s="43" t="d">
        <x:v>2026-10-18T00:00:00.000Z</x:v>
      </x:c>
    </x:row>
    <x:row r="132" ht="120" customHeight="1">
      <x:c r="A132" s="33" t="str">
        <x:v>R-007</x:v>
      </x:c>
      <x:c r="B132" s="33" t="str">
        <x:v>D11 / D12</x:v>
      </x:c>
      <x:c r="C132" s="33" t="str">
        <x:v>Assessment status</x:v>
      </x:c>
      <x:c r="D132" s="33" t="str">
        <x:v>Draft for review</x:v>
      </x:c>
      <x:c r="E132" s="33" t="str">
        <x:v>Revised draft for review</x:v>
      </x:c>
      <x:c r="F132" s="33" t="str">
        <x:v>Applied in project review</x:v>
      </x:c>
      <x:c r="G132" s="43" t="d">
        <x:v>2026-10-18T00:00:00.000Z</x:v>
      </x:c>
    </x:row>
    <x:row r="133" ht="120" customHeight="1">
      <x:c r="A133" s="33" t="str">
        <x:v>R-007</x:v>
      </x:c>
      <x:c r="B133" s="33" t="str">
        <x:v>D13</x:v>
      </x:c>
      <x:c r="C133" s="33" t="str">
        <x:v>Longer-term exposure</x:v>
      </x:c>
      <x:c r="D133" s="33" t="str">
        <x:v>Consequences may extend beyond three months; reassess during weekly reviews.</x:v>
      </x:c>
      <x:c r="E133" s="33" t="str">
        <x:v>Consequences may extend beyond three months; reassess during weekly reviews. Initial likelihood horizon ends 2020-06-30; later information belongs to dated reviews.</x:v>
      </x:c>
      <x:c r="F133" s="33" t="str">
        <x:v>Applied in project review</x:v>
      </x:c>
      <x:c r="G133" s="43" t="d">
        <x:v>2026-10-18T00:00:00.000Z</x:v>
      </x:c>
    </x:row>
    <x:row r="134" ht="120" customHeight="1">
      <x:c r="A134" s="33" t="str">
        <x:v>R-007</x:v>
      </x:c>
      <x:c r="B134" s="33" t="str">
        <x:v>Review batch</x:v>
      </x:c>
      <x:c r="C134" s="33" t="str">
        <x:v>Revision notes</x:v>
      </x:c>
      <x:c r="D134" s="33" t="str">
        <x:v>Cause, event and impact separated; wording aligned to pandemic onset. Source evidence and controls remain unverified.</x:v>
      </x:c>
      <x:c r="E134" s="33" t="str">
        <x:v>Cause, event and impact separated; wording aligned to pandemic onset. Source evidence and controls remain unverified. Decisions applied: D11; D12–D14. See Decision Log for specific before/after values.</x:v>
      </x:c>
      <x:c r="F134" s="33" t="str">
        <x:v>Applied in project review</x:v>
      </x:c>
      <x:c r="G134" s="43" t="d">
        <x:v>2026-10-18T00:00:00.000Z</x:v>
      </x:c>
    </x:row>
    <x:row r="135" ht="120" customHeight="1">
      <x:c r="A135" s="33" t="str">
        <x:v>R-008</x:v>
      </x:c>
      <x:c r="B135" s="33" t="str">
        <x:v>D13</x:v>
      </x:c>
      <x:c r="C135" s="33" t="str">
        <x:v>Likelihood horizon</x:v>
      </x:c>
      <x:c r="D135" s="33" t="str">
        <x:v>Initial three months</x:v>
      </x:c>
      <x:c r="E135" s="33" t="str">
        <x:v>2020-04-01 to 2020-06-30</x:v>
      </x:c>
      <x:c r="F135" s="33" t="str">
        <x:v>Applied in project review</x:v>
      </x:c>
      <x:c r="G135" s="43" t="d">
        <x:v>2026-10-18T00:00:00.000Z</x:v>
      </x:c>
    </x:row>
    <x:row r="136" ht="120" customHeight="1">
      <x:c r="A136" s="33" t="str">
        <x:v>R-008</x:v>
      </x:c>
      <x:c r="B136" s="33" t="str">
        <x:v>D12</x:v>
      </x:c>
      <x:c r="C136" s="33" t="str">
        <x:v>Existing controls</x:v>
      </x:c>
      <x:c r="D136" s="33" t="str">
        <x:v>Operational audit trails and retained processing records.</x:v>
      </x:c>
      <x:c r="E136" s="33" t="str">
        <x:v>Assumption from Sam: financial modelling is in use for funds and expenditure. The case confirms financial activities, not this control.</x:v>
      </x:c>
      <x:c r="F136" s="33" t="str">
        <x:v>Applied in project review</x:v>
      </x:c>
      <x:c r="G136" s="43" t="d">
        <x:v>2026-10-18T00:00:00.000Z</x:v>
      </x:c>
    </x:row>
    <x:row r="137" ht="120" customHeight="1">
      <x:c r="A137" s="33" t="str">
        <x:v>R-008</x:v>
      </x:c>
      <x:c r="B137" s="33" t="str">
        <x:v>D12</x:v>
      </x:c>
      <x:c r="C137" s="33" t="str">
        <x:v>Control evidence status</x:v>
      </x:c>
      <x:c r="D137" s="33" t="str">
        <x:v>Reported in Sam’s draft; implementation and scope require verification.</x:v>
      </x:c>
      <x:c r="E137" s="33" t="str">
        <x:v>Mixed evidence: case arrangements plus explicit team assumptions; see Evidence and experience.</x:v>
      </x:c>
      <x:c r="F137" s="33" t="str">
        <x:v>Applied in project review</x:v>
      </x:c>
      <x:c r="G137" s="43" t="d">
        <x:v>2026-10-18T00:00:00.000Z</x:v>
      </x:c>
    </x:row>
    <x:row r="138" ht="120" customHeight="1">
      <x:c r="A138" s="33" t="str">
        <x:v>R-008</x:v>
      </x:c>
      <x:c r="B138" s="33" t="str">
        <x:v>D12</x:v>
      </x:c>
      <x:c r="C138" s="33" t="str">
        <x:v>Control effectiveness</x:v>
      </x:c>
      <x:c r="D138" s="33" t="str">
        <x:v>An audit trail supports detection and investigation but does not establish prevention of this event. Coverage, exclusions, counterparties, recoveries due and ability to bridge delays are unknown.</x:v>
      </x:c>
      <x:c r="E138" s="33" t="str">
        <x:v>Modelling can identify pressure but does not provide cash, prevent losses or prove scenario coverage. Effectiveness is unverified.</x:v>
      </x:c>
      <x:c r="F138" s="33" t="str">
        <x:v>Applied in project review</x:v>
      </x:c>
      <x:c r="G138" s="43" t="d">
        <x:v>2026-10-18T00:00:00.000Z</x:v>
      </x:c>
    </x:row>
    <x:row r="139" ht="120" customHeight="1">
      <x:c r="A139" s="33" t="str">
        <x:v>R-008</x:v>
      </x:c>
      <x:c r="B139" s="33" t="str">
        <x:v>D12; D13</x:v>
      </x:c>
      <x:c r="C139" s="33" t="str">
        <x:v>Evidence and experience</x:v>
      </x:c>
      <x:c r="D139" s="33" t="str">
        <x:v>See Source Records for R-008 and Source Text for the original references. No verified internal incident history or empirical probability estimate is supplied. Historical examples require a scenario-date and relevance check before use.</x:v>
      </x:c>
      <x:c r="E139"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139" s="33" t="str">
        <x:v>Applied in project review</x:v>
      </x:c>
      <x:c r="G139" s="43" t="d">
        <x:v>2026-10-18T00:00:00.000Z</x:v>
      </x:c>
    </x:row>
    <x:row r="140" ht="120" customHeight="1">
      <x:c r="A140" s="33" t="str">
        <x:v>R-008</x:v>
      </x:c>
      <x:c r="B140" s="33" t="str">
        <x:v>D12 draft</x:v>
      </x:c>
      <x:c r="C140" s="33" t="str">
        <x:v>Tolerability reasoning</x:v>
      </x:c>
      <x:c r="D140" s="33" t="str">
        <x:v>The supplied information does not establish the remaining exposure after controls. Coverage, exclusions, counterparties, recoveries due and ability to bridge delays are unknown. A tolerability decision must consider the agreed appetite and the need to sustain claims funding and reinsurance counterparties.</x:v>
      </x:c>
      <x:c r="E140" s="33" t="str">
        <x:v>Awaiting assessment: the case does not quantify the exposure and available financial capacity sufficiently to decide whether the remaining risk fits appetite. Coverage, exclusions, counterparties, recoveries due and ability to bridge delays are unknown. Continued operations require this assessment; a High or Extreme inherent rating alone is not a tolerability decision.</x:v>
      </x:c>
      <x:c r="F140" s="33" t="str">
        <x:v>Applied in project review</x:v>
      </x:c>
      <x:c r="G140" s="43" t="d">
        <x:v>2026-10-18T00:00:00.000Z</x:v>
      </x:c>
    </x:row>
    <x:row r="141" ht="120" customHeight="1">
      <x:c r="A141" s="33" t="str">
        <x:v>R-008</x:v>
      </x:c>
      <x:c r="B141" s="33" t="str">
        <x:v>D14</x:v>
      </x:c>
      <x:c r="C141" s="33" t="str">
        <x:v>Risk owner</x:v>
      </x:c>
      <x:c r="D141" s="33" t="str">
        <x:v>Unassigned</x:v>
      </x:c>
      <x:c r="E141" s="33" t="str">
        <x:v>Finance Manager</x:v>
      </x:c>
      <x:c r="F141" s="33" t="str">
        <x:v>Applied in project review</x:v>
      </x:c>
      <x:c r="G141" s="43" t="d">
        <x:v>2026-10-18T00:00:00.000Z</x:v>
      </x:c>
    </x:row>
    <x:row r="142" ht="120" customHeight="1">
      <x:c r="A142" s="33" t="str">
        <x:v>R-008</x:v>
      </x:c>
      <x:c r="B142" s="33" t="str">
        <x:v>D11 / D12</x:v>
      </x:c>
      <x:c r="C142" s="33" t="str">
        <x:v>Assessment status</x:v>
      </x:c>
      <x:c r="D142" s="33" t="str">
        <x:v>Draft for review</x:v>
      </x:c>
      <x:c r="E142" s="33" t="str">
        <x:v>Revised draft for review</x:v>
      </x:c>
      <x:c r="F142" s="33" t="str">
        <x:v>Applied in project review</x:v>
      </x:c>
      <x:c r="G142" s="43" t="d">
        <x:v>2026-10-18T00:00:00.000Z</x:v>
      </x:c>
    </x:row>
    <x:row r="143" ht="120" customHeight="1">
      <x:c r="A143" s="33" t="str">
        <x:v>R-008</x:v>
      </x:c>
      <x:c r="B143" s="33" t="str">
        <x:v>D13</x:v>
      </x:c>
      <x:c r="C143" s="33" t="str">
        <x:v>Longer-term exposure</x:v>
      </x:c>
      <x:c r="D143" s="33" t="str">
        <x:v>Consequences may extend beyond three months; reassess during weekly reviews.</x:v>
      </x:c>
      <x:c r="E143" s="33" t="str">
        <x:v>Consequences may extend beyond three months; reassess during weekly reviews. Initial likelihood horizon ends 2020-06-30; later information belongs to dated reviews.</x:v>
      </x:c>
      <x:c r="F143" s="33" t="str">
        <x:v>Applied in project review</x:v>
      </x:c>
      <x:c r="G143" s="43" t="d">
        <x:v>2026-10-18T00:00:00.000Z</x:v>
      </x:c>
    </x:row>
    <x:row r="144" ht="120" customHeight="1">
      <x:c r="A144" s="33" t="str">
        <x:v>R-008</x:v>
      </x:c>
      <x:c r="B144" s="33" t="str">
        <x:v>Review batch</x:v>
      </x:c>
      <x:c r="C144" s="33" t="str">
        <x:v>Revision notes</x:v>
      </x:c>
      <x:c r="D144" s="33" t="str">
        <x:v>Cause, event and impact separated; wording aligned to pandemic onset. Source evidence and controls remain unverified.</x:v>
      </x:c>
      <x:c r="E144" s="33" t="str">
        <x:v>Cause, event and impact separated; wording aligned to pandemic onset. Source evidence and controls remain unverified. Decisions applied: D10; D12–D14. See Decision Log for specific before/after values.</x:v>
      </x:c>
      <x:c r="F144" s="33" t="str">
        <x:v>Applied in project review</x:v>
      </x:c>
      <x:c r="G144" s="43" t="d">
        <x:v>2026-10-18T00:00:00.000Z</x:v>
      </x:c>
    </x:row>
    <x:row r="145" ht="120" customHeight="1">
      <x:c r="A145" s="33" t="str">
        <x:v>R-009</x:v>
      </x:c>
      <x:c r="B145" s="33" t="str">
        <x:v>D13</x:v>
      </x:c>
      <x:c r="C145" s="33" t="str">
        <x:v>Likelihood horizon</x:v>
      </x:c>
      <x:c r="D145" s="33" t="str">
        <x:v>Initial three months</x:v>
      </x:c>
      <x:c r="E145" s="33" t="str">
        <x:v>2020-04-01 to 2020-06-30</x:v>
      </x:c>
      <x:c r="F145" s="33" t="str">
        <x:v>Applied in project review</x:v>
      </x:c>
      <x:c r="G145" s="43" t="d">
        <x:v>2026-10-18T00:00:00.000Z</x:v>
      </x:c>
    </x:row>
    <x:row r="146" ht="120" customHeight="1">
      <x:c r="A146" s="33" t="str">
        <x:v>R-009</x:v>
      </x:c>
      <x:c r="B146" s="33" t="str">
        <x:v>D12</x:v>
      </x:c>
      <x:c r="C146" s="33" t="str">
        <x:v>Existing controls</x:v>
      </x:c>
      <x:c r="D146" s="33" t="str">
        <x:v>Operational audit trails and retained processing records.</x:v>
      </x:c>
      <x:c r="E146" s="33" t="str">
        <x:v>Assumption from Sam: financial modelling is in use for funds and expenditure. The case confirms financial activities, not this control.</x:v>
      </x:c>
      <x:c r="F146" s="33" t="str">
        <x:v>Applied in project review</x:v>
      </x:c>
      <x:c r="G146" s="43" t="d">
        <x:v>2026-10-18T00:00:00.000Z</x:v>
      </x:c>
    </x:row>
    <x:row r="147" ht="120" customHeight="1">
      <x:c r="A147" s="33" t="str">
        <x:v>R-009</x:v>
      </x:c>
      <x:c r="B147" s="33" t="str">
        <x:v>D12</x:v>
      </x:c>
      <x:c r="C147" s="33" t="str">
        <x:v>Control evidence status</x:v>
      </x:c>
      <x:c r="D147" s="33" t="str">
        <x:v>Reported in Sam’s draft; implementation and scope require verification.</x:v>
      </x:c>
      <x:c r="E147" s="33" t="str">
        <x:v>Mixed evidence: case arrangements plus explicit team assumptions; see Evidence and experience.</x:v>
      </x:c>
      <x:c r="F147" s="33" t="str">
        <x:v>Applied in project review</x:v>
      </x:c>
      <x:c r="G147" s="43" t="d">
        <x:v>2026-10-18T00:00:00.000Z</x:v>
      </x:c>
    </x:row>
    <x:row r="148" ht="120" customHeight="1">
      <x:c r="A148" s="33" t="str">
        <x:v>R-009</x:v>
      </x:c>
      <x:c r="B148" s="33" t="str">
        <x:v>D12</x:v>
      </x:c>
      <x:c r="C148" s="33" t="str">
        <x:v>Control effectiveness</x:v>
      </x:c>
      <x:c r="D148" s="33" t="str">
        <x:v>An audit trail supports detection and investigation but does not establish prevention of this event. Portfolio holdings, credit quality, concentration and credit monitoring need confirmation.</x:v>
      </x:c>
      <x:c r="E148" s="33" t="str">
        <x:v>Modelling can identify pressure but does not provide cash, prevent losses or prove scenario coverage. Effectiveness is unverified.</x:v>
      </x:c>
      <x:c r="F148" s="33" t="str">
        <x:v>Applied in project review</x:v>
      </x:c>
      <x:c r="G148" s="43" t="d">
        <x:v>2026-10-18T00:00:00.000Z</x:v>
      </x:c>
    </x:row>
    <x:row r="149" ht="120" customHeight="1">
      <x:c r="A149" s="33" t="str">
        <x:v>R-009</x:v>
      </x:c>
      <x:c r="B149" s="33" t="str">
        <x:v>D12; D13</x:v>
      </x:c>
      <x:c r="C149" s="33" t="str">
        <x:v>Evidence and experience</x:v>
      </x:c>
      <x:c r="D149" s="33" t="str">
        <x:v>See Source Records for R-009 and Source Text for the original references. No verified internal incident history or empirical probability estimate is supplied. Historical examples require a scenario-date and relevance check before use.</x:v>
      </x:c>
      <x:c r="E149"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149" s="33" t="str">
        <x:v>Applied in project review</x:v>
      </x:c>
      <x:c r="G149" s="43" t="d">
        <x:v>2026-10-18T00:00:00.000Z</x:v>
      </x:c>
    </x:row>
    <x:row r="150" ht="120" customHeight="1">
      <x:c r="A150" s="33" t="str">
        <x:v>R-009</x:v>
      </x:c>
      <x:c r="B150" s="33" t="str">
        <x:v>D12 draft</x:v>
      </x:c>
      <x:c r="C150" s="33" t="str">
        <x:v>Tolerability reasoning</x:v>
      </x:c>
      <x:c r="D150" s="33" t="str">
        <x:v>The supplied information does not establish the remaining exposure after controls. Portfolio holdings, credit quality, concentration and credit monitoring need confirmation. A tolerability decision must consider the agreed appetite and the need to sustain investment cash flows.</x:v>
      </x:c>
      <x:c r="E150" s="33" t="str">
        <x:v>Awaiting assessment: the case does not quantify the exposure and available financial capacity sufficiently to decide whether the remaining risk fits appetite. Portfolio holdings, credit quality, concentration and credit monitoring need confirmation. Continued operations require this assessment; a High or Extreme inherent rating alone is not a tolerability decision.</x:v>
      </x:c>
      <x:c r="F150" s="33" t="str">
        <x:v>Applied in project review</x:v>
      </x:c>
      <x:c r="G150" s="43" t="d">
        <x:v>2026-10-18T00:00:00.000Z</x:v>
      </x:c>
    </x:row>
    <x:row r="151" ht="120" customHeight="1">
      <x:c r="A151" s="33" t="str">
        <x:v>R-009</x:v>
      </x:c>
      <x:c r="B151" s="33" t="str">
        <x:v>D14</x:v>
      </x:c>
      <x:c r="C151" s="33" t="str">
        <x:v>Risk owner</x:v>
      </x:c>
      <x:c r="D151" s="33" t="str">
        <x:v>Unassigned</x:v>
      </x:c>
      <x:c r="E151" s="33" t="str">
        <x:v>Finance Manager</x:v>
      </x:c>
      <x:c r="F151" s="33" t="str">
        <x:v>Applied in project review</x:v>
      </x:c>
      <x:c r="G151" s="43" t="d">
        <x:v>2026-10-18T00:00:00.000Z</x:v>
      </x:c>
    </x:row>
    <x:row r="152" ht="120" customHeight="1">
      <x:c r="A152" s="33" t="str">
        <x:v>R-009</x:v>
      </x:c>
      <x:c r="B152" s="33" t="str">
        <x:v>D11 / D12</x:v>
      </x:c>
      <x:c r="C152" s="33" t="str">
        <x:v>Assessment status</x:v>
      </x:c>
      <x:c r="D152" s="33" t="str">
        <x:v>Draft for review</x:v>
      </x:c>
      <x:c r="E152" s="33" t="str">
        <x:v>Revised draft for review</x:v>
      </x:c>
      <x:c r="F152" s="33" t="str">
        <x:v>Applied in project review</x:v>
      </x:c>
      <x:c r="G152" s="43" t="d">
        <x:v>2026-10-18T00:00:00.000Z</x:v>
      </x:c>
    </x:row>
    <x:row r="153" ht="120" customHeight="1">
      <x:c r="A153" s="33" t="str">
        <x:v>R-009</x:v>
      </x:c>
      <x:c r="B153" s="33" t="str">
        <x:v>D13</x:v>
      </x:c>
      <x:c r="C153" s="33" t="str">
        <x:v>Longer-term exposure</x:v>
      </x:c>
      <x:c r="D153" s="33" t="str">
        <x:v>Consequences may extend beyond three months; reassess during weekly reviews.</x:v>
      </x:c>
      <x:c r="E153" s="33" t="str">
        <x:v>Consequences may extend beyond three months; reassess during weekly reviews. Initial likelihood horizon ends 2020-06-30; later information belongs to dated reviews.</x:v>
      </x:c>
      <x:c r="F153" s="33" t="str">
        <x:v>Applied in project review</x:v>
      </x:c>
      <x:c r="G153" s="43" t="d">
        <x:v>2026-10-18T00:00:00.000Z</x:v>
      </x:c>
    </x:row>
    <x:row r="154" ht="120" customHeight="1">
      <x:c r="A154" s="33" t="str">
        <x:v>R-009</x:v>
      </x:c>
      <x:c r="B154" s="33" t="str">
        <x:v>Review batch</x:v>
      </x:c>
      <x:c r="C154" s="33" t="str">
        <x:v>Revision notes</x:v>
      </x:c>
      <x:c r="D154" s="33" t="str">
        <x:v>Cause, event and impact separated; wording aligned to pandemic onset. Source evidence and controls remain unverified.</x:v>
      </x:c>
      <x:c r="E154" s="33" t="str">
        <x:v>Cause, event and impact separated; wording aligned to pandemic onset. Source evidence and controls remain unverified. Decisions applied: D11; D12–D14. See Decision Log for specific before/after values.</x:v>
      </x:c>
      <x:c r="F154" s="33" t="str">
        <x:v>Applied in project review</x:v>
      </x:c>
      <x:c r="G154" s="43" t="d">
        <x:v>2026-10-18T00:00:00.000Z</x:v>
      </x:c>
    </x:row>
    <x:row r="155" ht="120" customHeight="1">
      <x:c r="A155" s="33" t="str">
        <x:v>R-010</x:v>
      </x:c>
      <x:c r="B155" s="33" t="str">
        <x:v>D13</x:v>
      </x:c>
      <x:c r="C155" s="33" t="str">
        <x:v>Likelihood horizon</x:v>
      </x:c>
      <x:c r="D155" s="33" t="str">
        <x:v>Initial three months</x:v>
      </x:c>
      <x:c r="E155" s="33" t="str">
        <x:v>2020-04-01 to 2020-06-30</x:v>
      </x:c>
      <x:c r="F155" s="33" t="str">
        <x:v>Applied in project review</x:v>
      </x:c>
      <x:c r="G155" s="43" t="d">
        <x:v>2026-10-18T00:00:00.000Z</x:v>
      </x:c>
    </x:row>
    <x:row r="156" ht="120" customHeight="1">
      <x:c r="A156" s="33" t="str">
        <x:v>R-010</x:v>
      </x:c>
      <x:c r="B156" s="33" t="str">
        <x:v>D12</x:v>
      </x:c>
      <x:c r="C156" s="33" t="str">
        <x:v>Existing controls</x:v>
      </x:c>
      <x:c r="D156" s="33" t="str">
        <x:v>Financial modelling of funds and expected obligations.</x:v>
      </x:c>
      <x:c r="E156" s="33" t="str">
        <x:v>Assumption from Sam: financial modelling is in use for funds and expenditure. The case confirms financial activities, not this control.</x:v>
      </x:c>
      <x:c r="F156" s="33" t="str">
        <x:v>Applied in project review</x:v>
      </x:c>
      <x:c r="G156" s="43" t="d">
        <x:v>2026-10-18T00:00:00.000Z</x:v>
      </x:c>
    </x:row>
    <x:row r="157" ht="120" customHeight="1">
      <x:c r="A157" s="33" t="str">
        <x:v>R-010</x:v>
      </x:c>
      <x:c r="B157" s="33" t="str">
        <x:v>D12</x:v>
      </x:c>
      <x:c r="C157" s="33" t="str">
        <x:v>Control evidence status</x:v>
      </x:c>
      <x:c r="D157" s="33" t="str">
        <x:v>Reported in Sam’s draft; implementation and scope require verification.</x:v>
      </x:c>
      <x:c r="E157" s="33" t="str">
        <x:v>Mixed evidence: case arrangements plus explicit team assumptions; see Evidence and experience.</x:v>
      </x:c>
      <x:c r="F157" s="33" t="str">
        <x:v>Applied in project review</x:v>
      </x:c>
      <x:c r="G157" s="43" t="d">
        <x:v>2026-10-18T00:00:00.000Z</x:v>
      </x:c>
    </x:row>
    <x:row r="158" ht="120" customHeight="1">
      <x:c r="A158" s="33" t="str">
        <x:v>R-010</x:v>
      </x:c>
      <x:c r="B158" s="33" t="str">
        <x:v>D12</x:v>
      </x:c>
      <x:c r="C158" s="33" t="str">
        <x:v>Control effectiveness</x:v>
      </x:c>
      <x:c r="D158" s="33" t="str">
        <x:v>Effectiveness is not demonstrated. Catastrophe exposure, reserves, liquid assets and reinsurance protection are unverified.</x:v>
      </x:c>
      <x:c r="E158" s="33" t="str">
        <x:v>Modelling can identify pressure but does not provide cash, prevent losses or prove scenario coverage. Effectiveness is unverified.</x:v>
      </x:c>
      <x:c r="F158" s="33" t="str">
        <x:v>Applied in project review</x:v>
      </x:c>
      <x:c r="G158" s="43" t="d">
        <x:v>2026-10-18T00:00:00.000Z</x:v>
      </x:c>
    </x:row>
    <x:row r="159" ht="120" customHeight="1">
      <x:c r="A159" s="33" t="str">
        <x:v>R-010</x:v>
      </x:c>
      <x:c r="B159" s="33" t="str">
        <x:v>D12; D13</x:v>
      </x:c>
      <x:c r="C159" s="33" t="str">
        <x:v>Evidence and experience</x:v>
      </x:c>
      <x:c r="D159" s="33" t="str">
        <x:v>See Source Records for R-010 and Source Text for the original references. No verified internal incident history or empirical probability estimate is supplied. Historical examples require a scenario-date and relevance check before use.</x:v>
      </x:c>
      <x:c r="E159"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159" s="33" t="str">
        <x:v>Applied in project review</x:v>
      </x:c>
      <x:c r="G159" s="43" t="d">
        <x:v>2026-10-18T00:00:00.000Z</x:v>
      </x:c>
    </x:row>
    <x:row r="160" ht="120" customHeight="1">
      <x:c r="A160" s="33" t="str">
        <x:v>R-010</x:v>
      </x:c>
      <x:c r="B160" s="33" t="str">
        <x:v>D12 draft</x:v>
      </x:c>
      <x:c r="C160" s="33" t="str">
        <x:v>Tolerability reasoning</x:v>
      </x:c>
      <x:c r="D160" s="33" t="str">
        <x:v>The supplied information does not establish the remaining exposure after controls. Catastrophe exposure, reserves, liquid assets and reinsurance protection are unverified. A tolerability decision must consider the agreed appetite and the need to sustain claims-paying capacity.</x:v>
      </x:c>
      <x:c r="E160" s="33" t="str">
        <x:v>Awaiting assessment: the case does not quantify the exposure and available financial capacity sufficiently to decide whether the remaining risk fits appetite. Catastrophe exposure, reserves, liquid assets and reinsurance protection are unverified. Continued operations require this assessment; a High or Extreme inherent rating alone is not a tolerability decision.</x:v>
      </x:c>
      <x:c r="F160" s="33" t="str">
        <x:v>Applied in project review</x:v>
      </x:c>
      <x:c r="G160" s="43" t="d">
        <x:v>2026-10-18T00:00:00.000Z</x:v>
      </x:c>
    </x:row>
    <x:row r="161" ht="120" customHeight="1">
      <x:c r="A161" s="33" t="str">
        <x:v>R-010</x:v>
      </x:c>
      <x:c r="B161" s="33" t="str">
        <x:v>D14</x:v>
      </x:c>
      <x:c r="C161" s="33" t="str">
        <x:v>Risk owner</x:v>
      </x:c>
      <x:c r="D161" s="33" t="str">
        <x:v>Unassigned</x:v>
      </x:c>
      <x:c r="E161" s="33" t="str">
        <x:v>Finance Manager</x:v>
      </x:c>
      <x:c r="F161" s="33" t="str">
        <x:v>Applied in project review</x:v>
      </x:c>
      <x:c r="G161" s="43" t="d">
        <x:v>2026-10-18T00:00:00.000Z</x:v>
      </x:c>
    </x:row>
    <x:row r="162" ht="120" customHeight="1">
      <x:c r="A162" s="33" t="str">
        <x:v>R-010</x:v>
      </x:c>
      <x:c r="B162" s="33" t="str">
        <x:v>D11 / D12</x:v>
      </x:c>
      <x:c r="C162" s="33" t="str">
        <x:v>Assessment status</x:v>
      </x:c>
      <x:c r="D162" s="33" t="str">
        <x:v>Draft for review</x:v>
      </x:c>
      <x:c r="E162" s="33" t="str">
        <x:v>Revised draft for review</x:v>
      </x:c>
      <x:c r="F162" s="33" t="str">
        <x:v>Applied in project review</x:v>
      </x:c>
      <x:c r="G162" s="43" t="d">
        <x:v>2026-10-18T00:00:00.000Z</x:v>
      </x:c>
    </x:row>
    <x:row r="163" ht="120" customHeight="1">
      <x:c r="A163" s="33" t="str">
        <x:v>R-010</x:v>
      </x:c>
      <x:c r="B163" s="33" t="str">
        <x:v>D13</x:v>
      </x:c>
      <x:c r="C163" s="33" t="str">
        <x:v>Longer-term exposure</x:v>
      </x:c>
      <x:c r="D163" s="33" t="str">
        <x:v>Retain catastrophe exposure beyond the initial horizon; re-evaluate likelihood for each subsequent period.</x:v>
      </x:c>
      <x:c r="E163" s="33" t="str">
        <x:v>Retain catastrophe exposure beyond the initial horizon; re-evaluate likelihood for each subsequent period. Initial likelihood horizon ends 2020-06-30; later information belongs to dated reviews.</x:v>
      </x:c>
      <x:c r="F163" s="33" t="str">
        <x:v>Applied in project review</x:v>
      </x:c>
      <x:c r="G163" s="43" t="d">
        <x:v>2026-10-18T00:00:00.000Z</x:v>
      </x:c>
    </x:row>
    <x:row r="164" ht="120" customHeight="1">
      <x:c r="A164" s="33" t="str">
        <x:v>R-010</x:v>
      </x:c>
      <x:c r="B164" s="33" t="str">
        <x:v>Review batch</x:v>
      </x:c>
      <x:c r="C164" s="33" t="str">
        <x:v>Revision notes</x:v>
      </x:c>
      <x:c r="D164" s="33" t="str">
        <x:v>Cause, event and impact separated; wording aligned to pandemic onset. Source evidence and controls remain unverified.</x:v>
      </x:c>
      <x:c r="E164" s="33" t="str">
        <x:v>Cause, event and impact separated; wording aligned to pandemic onset. Source evidence and controls remain unverified. Decisions applied: D10; D12–D14. See Decision Log for specific before/after values.</x:v>
      </x:c>
      <x:c r="F164" s="33" t="str">
        <x:v>Applied in project review</x:v>
      </x:c>
      <x:c r="G164" s="43" t="d">
        <x:v>2026-10-18T00:00:00.000Z</x:v>
      </x:c>
    </x:row>
    <x:row r="165" ht="120" customHeight="1">
      <x:c r="A165" s="33" t="str">
        <x:v>R-011</x:v>
      </x:c>
      <x:c r="B165" s="33" t="str">
        <x:v>D13</x:v>
      </x:c>
      <x:c r="C165" s="33" t="str">
        <x:v>Likelihood horizon</x:v>
      </x:c>
      <x:c r="D165" s="33" t="str">
        <x:v>Initial three months</x:v>
      </x:c>
      <x:c r="E165" s="33" t="str">
        <x:v>2020-04-01 to 2020-06-30</x:v>
      </x:c>
      <x:c r="F165" s="33" t="str">
        <x:v>Applied in project review</x:v>
      </x:c>
      <x:c r="G165" s="43" t="d">
        <x:v>2026-10-18T00:00:00.000Z</x:v>
      </x:c>
    </x:row>
    <x:row r="166" ht="120" customHeight="1">
      <x:c r="A166" s="33" t="str">
        <x:v>R-011</x:v>
      </x:c>
      <x:c r="B166" s="33" t="str">
        <x:v>D12</x:v>
      </x:c>
      <x:c r="C166" s="33" t="str">
        <x:v>Existing controls</x:v>
      </x:c>
      <x:c r="D166" s="33" t="str">
        <x:v>Financial modelling of funds and expected obligations.</x:v>
      </x:c>
      <x:c r="E166" s="33" t="str">
        <x:v>Assumption from Sam: financial modelling is in use for funds and expenditure. The case confirms financial activities, not this control.</x:v>
      </x:c>
      <x:c r="F166" s="33" t="str">
        <x:v>Applied in project review</x:v>
      </x:c>
      <x:c r="G166" s="43" t="d">
        <x:v>2026-10-18T00:00:00.000Z</x:v>
      </x:c>
    </x:row>
    <x:row r="167" ht="120" customHeight="1">
      <x:c r="A167" s="33" t="str">
        <x:v>R-011</x:v>
      </x:c>
      <x:c r="B167" s="33" t="str">
        <x:v>D12</x:v>
      </x:c>
      <x:c r="C167" s="33" t="str">
        <x:v>Control evidence status</x:v>
      </x:c>
      <x:c r="D167" s="33" t="str">
        <x:v>Reported in Sam’s draft; implementation and scope require verification.</x:v>
      </x:c>
      <x:c r="E167" s="33" t="str">
        <x:v>Mixed evidence: case arrangements plus explicit team assumptions; see Evidence and experience.</x:v>
      </x:c>
      <x:c r="F167" s="33" t="str">
        <x:v>Applied in project review</x:v>
      </x:c>
      <x:c r="G167" s="43" t="d">
        <x:v>2026-10-18T00:00:00.000Z</x:v>
      </x:c>
    </x:row>
    <x:row r="168" ht="120" customHeight="1">
      <x:c r="A168" s="33" t="str">
        <x:v>R-011</x:v>
      </x:c>
      <x:c r="B168" s="33" t="str">
        <x:v>D12</x:v>
      </x:c>
      <x:c r="C168" s="33" t="str">
        <x:v>Control effectiveness</x:v>
      </x:c>
      <x:c r="D168" s="33" t="str">
        <x:v>Effectiveness is not demonstrated. Product coverage, claim volumes, forecasts and reserve adequacy need confirmation.</x:v>
      </x:c>
      <x:c r="E168" s="33" t="str">
        <x:v>Modelling can identify pressure but does not provide cash, prevent losses or prove scenario coverage. Effectiveness is unverified.</x:v>
      </x:c>
      <x:c r="F168" s="33" t="str">
        <x:v>Applied in project review</x:v>
      </x:c>
      <x:c r="G168" s="43" t="d">
        <x:v>2026-10-18T00:00:00.000Z</x:v>
      </x:c>
    </x:row>
    <x:row r="169" ht="120" customHeight="1">
      <x:c r="A169" s="33" t="str">
        <x:v>R-011</x:v>
      </x:c>
      <x:c r="B169" s="33" t="str">
        <x:v>D12; D13</x:v>
      </x:c>
      <x:c r="C169" s="33" t="str">
        <x:v>Evidence and experience</x:v>
      </x:c>
      <x:c r="D169" s="33" t="str">
        <x:v>See Source Records for R-011 and Source Text for the original references. No verified internal incident history or empirical probability estimate is supplied. Historical examples require a scenario-date and relevance check before use.</x:v>
      </x:c>
      <x:c r="E169"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169" s="33" t="str">
        <x:v>Applied in project review</x:v>
      </x:c>
      <x:c r="G169" s="43" t="d">
        <x:v>2026-10-18T00:00:00.000Z</x:v>
      </x:c>
    </x:row>
    <x:row r="170" ht="120" customHeight="1">
      <x:c r="A170" s="33" t="str">
        <x:v>R-011</x:v>
      </x:c>
      <x:c r="B170" s="33" t="str">
        <x:v>D12 draft</x:v>
      </x:c>
      <x:c r="C170" s="33" t="str">
        <x:v>Tolerability reasoning</x:v>
      </x:c>
      <x:c r="D170" s="33" t="str">
        <x:v>The supplied information does not establish the remaining exposure after controls. Product coverage, claim volumes, forecasts and reserve adequacy need confirmation. A tolerability decision must consider the agreed appetite and the need to sustain claims funding and staffing.</x:v>
      </x:c>
      <x:c r="E170" s="33" t="str">
        <x:v>Awaiting assessment: the case does not quantify the exposure and available financial capacity sufficiently to decide whether the remaining risk fits appetite. Product coverage, claim volumes, forecasts and reserve adequacy need confirmation. Continued operations require this assessment; a High or Extreme inherent rating alone is not a tolerability decision.</x:v>
      </x:c>
      <x:c r="F170" s="33" t="str">
        <x:v>Applied in project review</x:v>
      </x:c>
      <x:c r="G170" s="43" t="d">
        <x:v>2026-10-18T00:00:00.000Z</x:v>
      </x:c>
    </x:row>
    <x:row r="171" ht="120" customHeight="1">
      <x:c r="A171" s="33" t="str">
        <x:v>R-011</x:v>
      </x:c>
      <x:c r="B171" s="33" t="str">
        <x:v>D14</x:v>
      </x:c>
      <x:c r="C171" s="33" t="str">
        <x:v>Risk owner</x:v>
      </x:c>
      <x:c r="D171" s="33" t="str">
        <x:v>Unassigned</x:v>
      </x:c>
      <x:c r="E171" s="33" t="str">
        <x:v>Finance Manager</x:v>
      </x:c>
      <x:c r="F171" s="33" t="str">
        <x:v>Applied in project review</x:v>
      </x:c>
      <x:c r="G171" s="43" t="d">
        <x:v>2026-10-18T00:00:00.000Z</x:v>
      </x:c>
    </x:row>
    <x:row r="172" ht="120" customHeight="1">
      <x:c r="A172" s="33" t="str">
        <x:v>R-011</x:v>
      </x:c>
      <x:c r="B172" s="33" t="str">
        <x:v>D11 / D12</x:v>
      </x:c>
      <x:c r="C172" s="33" t="str">
        <x:v>Assessment status</x:v>
      </x:c>
      <x:c r="D172" s="33" t="str">
        <x:v>Draft for review</x:v>
      </x:c>
      <x:c r="E172" s="33" t="str">
        <x:v>Revised draft for review</x:v>
      </x:c>
      <x:c r="F172" s="33" t="str">
        <x:v>Applied in project review</x:v>
      </x:c>
      <x:c r="G172" s="43" t="d">
        <x:v>2026-10-18T00:00:00.000Z</x:v>
      </x:c>
    </x:row>
    <x:row r="173" ht="120" customHeight="1">
      <x:c r="A173" s="33" t="str">
        <x:v>R-011</x:v>
      </x:c>
      <x:c r="B173" s="33" t="str">
        <x:v>D13</x:v>
      </x:c>
      <x:c r="C173" s="33" t="str">
        <x:v>Longer-term exposure</x:v>
      </x:c>
      <x:c r="D173" s="33" t="str">
        <x:v>Consequences may extend beyond three months; reassess during weekly reviews.</x:v>
      </x:c>
      <x:c r="E173" s="33" t="str">
        <x:v>Consequences may extend beyond three months; reassess during weekly reviews. Initial likelihood horizon ends 2020-06-30; later information belongs to dated reviews.</x:v>
      </x:c>
      <x:c r="F173" s="33" t="str">
        <x:v>Applied in project review</x:v>
      </x:c>
      <x:c r="G173" s="43" t="d">
        <x:v>2026-10-18T00:00:00.000Z</x:v>
      </x:c>
    </x:row>
    <x:row r="174" ht="120" customHeight="1">
      <x:c r="A174" s="33" t="str">
        <x:v>R-011</x:v>
      </x:c>
      <x:c r="B174" s="33" t="str">
        <x:v>Review batch</x:v>
      </x:c>
      <x:c r="C174" s="33" t="str">
        <x:v>Revision notes</x:v>
      </x:c>
      <x:c r="D174" s="33" t="str">
        <x:v>Cause, event and impact separated; wording aligned to pandemic onset. Source evidence and controls remain unverified.</x:v>
      </x:c>
      <x:c r="E174" s="33" t="str">
        <x:v>Cause, event and impact separated; wording aligned to pandemic onset. Source evidence and controls remain unverified. Decisions applied: D08; D12–D14. See Decision Log for specific before/after values.</x:v>
      </x:c>
      <x:c r="F174" s="33" t="str">
        <x:v>Applied in project review</x:v>
      </x:c>
      <x:c r="G174" s="43" t="d">
        <x:v>2026-10-18T00:00:00.000Z</x:v>
      </x:c>
    </x:row>
    <x:row r="175" ht="120" customHeight="1">
      <x:c r="A175" s="33" t="str">
        <x:v>R-012</x:v>
      </x:c>
      <x:c r="B175" s="33" t="str">
        <x:v>D13</x:v>
      </x:c>
      <x:c r="C175" s="33" t="str">
        <x:v>Likelihood horizon</x:v>
      </x:c>
      <x:c r="D175" s="33" t="str">
        <x:v>Initial three months</x:v>
      </x:c>
      <x:c r="E175" s="33" t="str">
        <x:v>2020-04-01 to 2020-06-30</x:v>
      </x:c>
      <x:c r="F175" s="33" t="str">
        <x:v>Applied in project review</x:v>
      </x:c>
      <x:c r="G175" s="43" t="d">
        <x:v>2026-10-18T00:00:00.000Z</x:v>
      </x:c>
    </x:row>
    <x:row r="176" ht="120" customHeight="1">
      <x:c r="A176" s="33" t="str">
        <x:v>R-012</x:v>
      </x:c>
      <x:c r="B176" s="33" t="str">
        <x:v>D12</x:v>
      </x:c>
      <x:c r="C176" s="33" t="str">
        <x:v>Existing controls</x:v>
      </x:c>
      <x:c r="D176" s="33" t="str">
        <x:v>Financial modelling of funds and expected obligations.</x:v>
      </x:c>
      <x:c r="E176" s="33" t="str">
        <x:v>Assumption from Sam: financial modelling is in use for funds and expenditure. The case confirms financial activities, not this control.</x:v>
      </x:c>
      <x:c r="F176" s="33" t="str">
        <x:v>Applied in project review</x:v>
      </x:c>
      <x:c r="G176" s="43" t="d">
        <x:v>2026-10-18T00:00:00.000Z</x:v>
      </x:c>
    </x:row>
    <x:row r="177" ht="120" customHeight="1">
      <x:c r="A177" s="33" t="str">
        <x:v>R-012</x:v>
      </x:c>
      <x:c r="B177" s="33" t="str">
        <x:v>D12</x:v>
      </x:c>
      <x:c r="C177" s="33" t="str">
        <x:v>Control evidence status</x:v>
      </x:c>
      <x:c r="D177" s="33" t="str">
        <x:v>Reported in Sam’s draft; implementation and scope require verification.</x:v>
      </x:c>
      <x:c r="E177" s="33" t="str">
        <x:v>Mixed evidence: case arrangements plus explicit team assumptions; see Evidence and experience.</x:v>
      </x:c>
      <x:c r="F177" s="33" t="str">
        <x:v>Applied in project review</x:v>
      </x:c>
      <x:c r="G177" s="43" t="d">
        <x:v>2026-10-18T00:00:00.000Z</x:v>
      </x:c>
    </x:row>
    <x:row r="178" ht="120" customHeight="1">
      <x:c r="A178" s="33" t="str">
        <x:v>R-012</x:v>
      </x:c>
      <x:c r="B178" s="33" t="str">
        <x:v>D12</x:v>
      </x:c>
      <x:c r="C178" s="33" t="str">
        <x:v>Control effectiveness</x:v>
      </x:c>
      <x:c r="D178" s="33" t="str">
        <x:v>Effectiveness is not demonstrated. Asset-liability modelling, duration sensitivity and stress scenarios need verification.</x:v>
      </x:c>
      <x:c r="E178" s="33" t="str">
        <x:v>Modelling can identify pressure but does not provide cash, prevent losses or prove scenario coverage. Effectiveness is unverified.</x:v>
      </x:c>
      <x:c r="F178" s="33" t="str">
        <x:v>Applied in project review</x:v>
      </x:c>
      <x:c r="G178" s="43" t="d">
        <x:v>2026-10-18T00:00:00.000Z</x:v>
      </x:c>
    </x:row>
    <x:row r="179" ht="120" customHeight="1">
      <x:c r="A179" s="33" t="str">
        <x:v>R-012</x:v>
      </x:c>
      <x:c r="B179" s="33" t="str">
        <x:v>D12; D13</x:v>
      </x:c>
      <x:c r="C179" s="33" t="str">
        <x:v>Evidence and experience</x:v>
      </x:c>
      <x:c r="D179" s="33" t="str">
        <x:v>See Source Records for R-012 and Source Text for the original references. No verified internal incident history or empirical probability estimate is supplied. Historical examples require a scenario-date and relevance check before use.</x:v>
      </x:c>
      <x:c r="E179"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179" s="33" t="str">
        <x:v>Applied in project review</x:v>
      </x:c>
      <x:c r="G179" s="43" t="d">
        <x:v>2026-10-18T00:00:00.000Z</x:v>
      </x:c>
    </x:row>
    <x:row r="180" ht="120" customHeight="1">
      <x:c r="A180" s="33" t="str">
        <x:v>R-012</x:v>
      </x:c>
      <x:c r="B180" s="33" t="str">
        <x:v>D12 draft</x:v>
      </x:c>
      <x:c r="C180" s="33" t="str">
        <x:v>Tolerability reasoning</x:v>
      </x:c>
      <x:c r="D180" s="33" t="str">
        <x:v>The supplied information does not establish the remaining exposure after controls. Asset-liability modelling, duration sensitivity and stress scenarios need verification. A tolerability decision must consider the agreed appetite and the need to sustain long-term policyholder funding.</x:v>
      </x:c>
      <x:c r="E180" s="33" t="str">
        <x:v>Awaiting assessment: the case does not quantify the exposure and available financial capacity sufficiently to decide whether the remaining risk fits appetite. Asset-liability modelling, duration sensitivity and stress scenarios need verification. Continued operations require this assessment; a High or Extreme inherent rating alone is not a tolerability decision.</x:v>
      </x:c>
      <x:c r="F180" s="33" t="str">
        <x:v>Applied in project review</x:v>
      </x:c>
      <x:c r="G180" s="43" t="d">
        <x:v>2026-10-18T00:00:00.000Z</x:v>
      </x:c>
    </x:row>
    <x:row r="181" ht="120" customHeight="1">
      <x:c r="A181" s="33" t="str">
        <x:v>R-012</x:v>
      </x:c>
      <x:c r="B181" s="33" t="str">
        <x:v>D14</x:v>
      </x:c>
      <x:c r="C181" s="33" t="str">
        <x:v>Risk owner</x:v>
      </x:c>
      <x:c r="D181" s="33" t="str">
        <x:v>Unassigned</x:v>
      </x:c>
      <x:c r="E181" s="33" t="str">
        <x:v>Finance Manager</x:v>
      </x:c>
      <x:c r="F181" s="33" t="str">
        <x:v>Applied in project review</x:v>
      </x:c>
      <x:c r="G181" s="43" t="d">
        <x:v>2026-10-18T00:00:00.000Z</x:v>
      </x:c>
    </x:row>
    <x:row r="182" ht="120" customHeight="1">
      <x:c r="A182" s="33" t="str">
        <x:v>R-012</x:v>
      </x:c>
      <x:c r="B182" s="33" t="str">
        <x:v>D11 / D12</x:v>
      </x:c>
      <x:c r="C182" s="33" t="str">
        <x:v>Assessment status</x:v>
      </x:c>
      <x:c r="D182" s="33" t="str">
        <x:v>Draft for review</x:v>
      </x:c>
      <x:c r="E182" s="33" t="str">
        <x:v>Revised draft for review</x:v>
      </x:c>
      <x:c r="F182" s="33" t="str">
        <x:v>Applied in project review</x:v>
      </x:c>
      <x:c r="G182" s="43" t="d">
        <x:v>2026-10-18T00:00:00.000Z</x:v>
      </x:c>
    </x:row>
    <x:row r="183" ht="120" customHeight="1">
      <x:c r="A183" s="33" t="str">
        <x:v>R-012</x:v>
      </x:c>
      <x:c r="B183" s="33" t="str">
        <x:v>D13</x:v>
      </x:c>
      <x:c r="C183" s="33" t="str">
        <x:v>Longer-term exposure</x:v>
      </x:c>
      <x:c r="D183" s="33" t="str">
        <x:v>Long-duration funding effects may build beyond three months. Review longer-term sensitivity separately; do not interpret the three-month likelihood as lifetime exposure.</x:v>
      </x:c>
      <x:c r="E183" s="33" t="str">
        <x:v>Long-duration funding effects may build beyond three months. Review longer-term sensitivity separately; do not interpret the three-month likelihood as lifetime exposure. Initial likelihood horizon ends 2020-06-30; later information belongs to dated reviews.</x:v>
      </x:c>
      <x:c r="F183" s="33" t="str">
        <x:v>Applied in project review</x:v>
      </x:c>
      <x:c r="G183" s="43" t="d">
        <x:v>2026-10-18T00:00:00.000Z</x:v>
      </x:c>
    </x:row>
    <x:row r="184" ht="120" customHeight="1">
      <x:c r="A184" s="33" t="str">
        <x:v>R-012</x:v>
      </x:c>
      <x:c r="B184" s="33" t="str">
        <x:v>Review batch</x:v>
      </x:c>
      <x:c r="C184" s="33" t="str">
        <x:v>Revision notes</x:v>
      </x:c>
      <x:c r="D184" s="33" t="str">
        <x:v>Cause, event and impact separated; wording aligned to pandemic onset. Source evidence and controls remain unverified. Proposed scores 5/3 to 4/4; see assessment reasoning.</x:v>
      </x:c>
      <x:c r="E184" s="33" t="str">
        <x:v>Cause, event and impact separated; wording aligned to pandemic onset. Source evidence and controls remain unverified. Proposed scores 5/3 to 4/4; see assessment reasoning. Decisions applied: D11; D12–D14. See Decision Log for specific before/after values.</x:v>
      </x:c>
      <x:c r="F184" s="33" t="str">
        <x:v>Applied in project review</x:v>
      </x:c>
      <x:c r="G184" s="43" t="d">
        <x:v>2026-10-18T00:00:00.000Z</x:v>
      </x:c>
    </x:row>
    <x:row r="185" ht="120" customHeight="1">
      <x:c r="A185" s="33" t="str">
        <x:v>R-014</x:v>
      </x:c>
      <x:c r="B185" s="33" t="str">
        <x:v>D13</x:v>
      </x:c>
      <x:c r="C185" s="33" t="str">
        <x:v>Likelihood horizon</x:v>
      </x:c>
      <x:c r="D185" s="33" t="str">
        <x:v>Initial three months</x:v>
      </x:c>
      <x:c r="E185" s="33" t="str">
        <x:v>2020-04-01 to 2020-06-30</x:v>
      </x:c>
      <x:c r="F185" s="33" t="str">
        <x:v>Applied in project review</x:v>
      </x:c>
      <x:c r="G185" s="43" t="d">
        <x:v>2026-10-18T00:00:00.000Z</x:v>
      </x:c>
    </x:row>
    <x:row r="186" ht="120" customHeight="1">
      <x:c r="A186" s="33" t="str">
        <x:v>R-014</x:v>
      </x:c>
      <x:c r="B186" s="33" t="str">
        <x:v>D12</x:v>
      </x:c>
      <x:c r="C186" s="33" t="str">
        <x:v>Existing controls</x:v>
      </x:c>
      <x:c r="D186" s="33" t="str">
        <x:v>No relevant operating control is evidenced in the supplied controls assessment.</x:v>
      </x:c>
      <x:c r="E186" s="33" t="str">
        <x:v>No staff-continuity or wellbeing control is specified in the case. Assessment assumption: Sam’s reported preparation gaps apply at the assessment date.</x:v>
      </x:c>
      <x:c r="F186" s="33" t="str">
        <x:v>Applied in project review</x:v>
      </x:c>
      <x:c r="G186" s="43" t="d">
        <x:v>2026-10-18T00:00:00.000Z</x:v>
      </x:c>
    </x:row>
    <x:row r="187" ht="120" customHeight="1">
      <x:c r="A187" s="33" t="str">
        <x:v>R-014</x:v>
      </x:c>
      <x:c r="B187" s="33" t="str">
        <x:v>D12</x:v>
      </x:c>
      <x:c r="C187" s="33" t="str">
        <x:v>Control evidence status</x:v>
      </x:c>
      <x:c r="D187" s="33" t="str">
        <x:v>Not evidenced in supplied material; absence is not confirmed.</x:v>
      </x:c>
      <x:c r="E187" s="33" t="str">
        <x:v>Mixed evidence: case arrangements plus explicit team assumptions; see Evidence and experience.</x:v>
      </x:c>
      <x:c r="F187" s="33" t="str">
        <x:v>Applied in project review</x:v>
      </x:c>
      <x:c r="G187" s="43" t="d">
        <x:v>2026-10-18T00:00:00.000Z</x:v>
      </x:c>
    </x:row>
    <x:row r="188" ht="120" customHeight="1">
      <x:c r="A188" s="33" t="str">
        <x:v>R-014</x:v>
      </x:c>
      <x:c r="B188" s="33" t="str">
        <x:v>D12</x:v>
      </x:c>
      <x:c r="C188" s="33" t="str">
        <x:v>Control effectiveness</x:v>
      </x:c>
      <x:c r="D188" s="33" t="str">
        <x:v>Effectiveness is not demonstrated. Approved remote procedures, training, handover arrangements and implementation evidence are missing.</x:v>
      </x:c>
      <x:c r="E188" s="33" t="str">
        <x:v>Existing staffing is capacity, not a tested continuity control. Backup coverage and support effectiveness remain unverified.</x:v>
      </x:c>
      <x:c r="F188" s="33" t="str">
        <x:v>Applied in project review</x:v>
      </x:c>
      <x:c r="G188" s="43" t="d">
        <x:v>2026-10-18T00:00:00.000Z</x:v>
      </x:c>
    </x:row>
    <x:row r="189" ht="120" customHeight="1">
      <x:c r="A189" s="33" t="str">
        <x:v>R-014</x:v>
      </x:c>
      <x:c r="B189" s="33" t="str">
        <x:v>D12; D13</x:v>
      </x:c>
      <x:c r="C189" s="33" t="str">
        <x:v>Evidence and experience</x:v>
      </x:c>
      <x:c r="D189" s="33" t="str">
        <x:v>See Source Records for R-014 and Source Text for the original references. No verified internal incident history or empirical probability estimate is supplied. Historical examples require a scenario-date and relevance check before use.</x:v>
      </x:c>
      <x:c r="E189" s="33"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F189" s="33" t="str">
        <x:v>Applied in project review</x:v>
      </x:c>
      <x:c r="G189" s="43" t="d">
        <x:v>2026-10-18T00:00:00.000Z</x:v>
      </x:c>
    </x:row>
    <x:row r="190" ht="120" customHeight="1">
      <x:c r="A190" s="33" t="str">
        <x:v>R-014</x:v>
      </x:c>
      <x:c r="B190" s="33" t="str">
        <x:v>D12 draft</x:v>
      </x:c>
      <x:c r="C190" s="33" t="str">
        <x:v>Tolerability</x:v>
      </x:c>
      <x:c r="D190" s="33" t="str">
        <x:v>Awaiting assessment</x:v>
      </x:c>
      <x:c r="E190" s="33" t="str">
        <x:v>Not tolerable</x:v>
      </x:c>
      <x:c r="F190" s="33" t="str">
        <x:v>Applied in project review</x:v>
      </x:c>
      <x:c r="G190" s="43" t="d">
        <x:v>2026-10-18T00:00:00.000Z</x:v>
      </x:c>
    </x:row>
    <x:row r="191" ht="120" customHeight="1">
      <x:c r="A191" s="33" t="str">
        <x:v>R-014</x:v>
      </x:c>
      <x:c r="B191" s="33" t="str">
        <x:v>D12 draft</x:v>
      </x:c>
      <x:c r="C191" s="33" t="str">
        <x:v>Tolerability reasoning</x:v>
      </x:c>
      <x:c r="D191" s="33" t="str">
        <x:v>The supplied information does not establish the remaining exposure after controls. Approved remote procedures, training, handover arrangements and implementation evidence are missing. A tolerability decision must consider the agreed appetite and the need to sustain people, technology and continuity.</x:v>
      </x:c>
      <x:c r="E191" s="33" t="str">
        <x:v>Not tolerable on the assumed lack of workable remote procedures and readiness. Essential workflows must continue, but the current gaps threaten that objective.</x:v>
      </x:c>
      <x:c r="F191" s="33" t="str">
        <x:v>Applied in project review</x:v>
      </x:c>
      <x:c r="G191" s="43" t="d">
        <x:v>2026-10-18T00:00:00.000Z</x:v>
      </x:c>
    </x:row>
    <x:row r="192" ht="120" customHeight="1">
      <x:c r="A192" s="33" t="str">
        <x:v>R-014</x:v>
      </x:c>
      <x:c r="B192" s="33" t="str">
        <x:v>D14</x:v>
      </x:c>
      <x:c r="C192" s="33" t="str">
        <x:v>Risk owner</x:v>
      </x:c>
      <x:c r="D192" s="33" t="str">
        <x:v>Unassigned</x:v>
      </x:c>
      <x:c r="E192" s="33" t="str">
        <x:v>Designated Executive Director</x:v>
      </x:c>
      <x:c r="F192" s="33" t="str">
        <x:v>Applied in project review</x:v>
      </x:c>
      <x:c r="G192" s="43" t="d">
        <x:v>2026-10-18T00:00:00.000Z</x:v>
      </x:c>
    </x:row>
    <x:row r="193" ht="120" customHeight="1">
      <x:c r="A193" s="33" t="str">
        <x:v>R-014</x:v>
      </x:c>
      <x:c r="B193" s="33" t="str">
        <x:v>D11 / D12</x:v>
      </x:c>
      <x:c r="C193" s="33" t="str">
        <x:v>Assessment status</x:v>
      </x:c>
      <x:c r="D193" s="33" t="str">
        <x:v>Draft for review</x:v>
      </x:c>
      <x:c r="E193" s="33" t="str">
        <x:v>Revised draft for review</x:v>
      </x:c>
      <x:c r="F193" s="33" t="str">
        <x:v>Applied in project review</x:v>
      </x:c>
      <x:c r="G193" s="43" t="d">
        <x:v>2026-10-18T00:00:00.000Z</x:v>
      </x:c>
    </x:row>
    <x:row r="194" ht="120" customHeight="1">
      <x:c r="A194" s="33" t="str">
        <x:v>R-014</x:v>
      </x:c>
      <x:c r="B194" s="33" t="str">
        <x:v>D13</x:v>
      </x:c>
      <x:c r="C194" s="33" t="str">
        <x:v>Longer-term exposure</x:v>
      </x:c>
      <x:c r="D194" s="33" t="str">
        <x:v>Consequences may extend beyond three months; reassess during weekly reviews.</x:v>
      </x:c>
      <x:c r="E194" s="33" t="str">
        <x:v>Consequences may extend beyond three months; reassess during weekly reviews. Initial likelihood horizon ends 2020-06-30; later information belongs to dated reviews.</x:v>
      </x:c>
      <x:c r="F194" s="33" t="str">
        <x:v>Applied in project review</x:v>
      </x:c>
      <x:c r="G194" s="43" t="d">
        <x:v>2026-10-18T00:00:00.000Z</x:v>
      </x:c>
    </x:row>
    <x:row r="195" ht="120" customHeight="1">
      <x:c r="A195" s="33" t="str">
        <x:v>R-014</x:v>
      </x:c>
      <x:c r="B195" s="33" t="str">
        <x:v>Review batch</x:v>
      </x:c>
      <x:c r="C195" s="33" t="str">
        <x:v>Revision notes</x:v>
      </x:c>
      <x:c r="D195" s="33" t="str">
        <x:v>Cause, event and impact separated; wording aligned to pandemic onset. Source evidence and controls remain unverified. Proposed code I1-P-01 to I1-G-01 based on primary cause or index placement. Proposed scores 5/4 to 4/4; see assessment reasoning. D01: Chris approved the Governance and Processes classification on 2026-10-18 (project review). Scores and other assessments remain provisional.</x:v>
      </x:c>
      <x:c r="E195" s="33" t="str">
        <x:v>Cause, event and impact separated; wording aligned to pandemic onset. Source evidence and controls remain unverified. Proposed code I1-P-01 to I1-G-01 based on primary cause or index placement. Proposed scores 5/4 to 4/4; see assessment reasoning. D01: Chris approved the Governance and Processes classification on 2026-10-18 (project review). Scores and other assessments remain provisional. Decisions applied: D01; D12–D14. See Decision Log for specific before/after values.</x:v>
      </x:c>
      <x:c r="F195" s="33" t="str">
        <x:v>Applied in project review</x:v>
      </x:c>
      <x:c r="G195" s="43" t="d">
        <x:v>2026-10-18T00:00:00.000Z</x:v>
      </x:c>
    </x:row>
    <x:row r="196" ht="120" customHeight="1">
      <x:c r="A196" s="33" t="str">
        <x:v>R-015</x:v>
      </x:c>
      <x:c r="B196" s="33" t="str">
        <x:v>D13</x:v>
      </x:c>
      <x:c r="C196" s="33" t="str">
        <x:v>Likelihood horizon</x:v>
      </x:c>
      <x:c r="D196" s="33" t="str">
        <x:v>Initial three months</x:v>
      </x:c>
      <x:c r="E196" s="33" t="str">
        <x:v>2020-04-01 to 2020-06-30</x:v>
      </x:c>
      <x:c r="F196" s="33" t="str">
        <x:v>Applied in project review</x:v>
      </x:c>
      <x:c r="G196" s="43" t="d">
        <x:v>2026-10-18T00:00:00.000Z</x:v>
      </x:c>
    </x:row>
    <x:row r="197" ht="120" customHeight="1">
      <x:c r="A197" s="33" t="str">
        <x:v>R-015</x:v>
      </x:c>
      <x:c r="B197" s="33" t="str">
        <x:v>D12</x:v>
      </x:c>
      <x:c r="C197" s="33" t="str">
        <x:v>Existing controls</x:v>
      </x:c>
      <x:c r="D197" s="33" t="str">
        <x:v>No relevant operating control is evidenced in the supplied controls assessment.</x:v>
      </x:c>
      <x:c r="E197" s="33" t="str">
        <x:v>No staff-continuity or wellbeing control is specified in the case. Assessment assumption: Sam’s reported preparation gaps apply at the assessment date.</x:v>
      </x:c>
      <x:c r="F197" s="33" t="str">
        <x:v>Applied in project review</x:v>
      </x:c>
      <x:c r="G197" s="43" t="d">
        <x:v>2026-10-18T00:00:00.000Z</x:v>
      </x:c>
    </x:row>
    <x:row r="198" ht="120" customHeight="1">
      <x:c r="A198" s="33" t="str">
        <x:v>R-015</x:v>
      </x:c>
      <x:c r="B198" s="33" t="str">
        <x:v>D12</x:v>
      </x:c>
      <x:c r="C198" s="33" t="str">
        <x:v>Control evidence status</x:v>
      </x:c>
      <x:c r="D198" s="33" t="str">
        <x:v>Not evidenced in supplied material; absence is not confirmed.</x:v>
      </x:c>
      <x:c r="E198" s="33" t="str">
        <x:v>Mixed evidence: case arrangements plus explicit team assumptions; see Evidence and experience.</x:v>
      </x:c>
      <x:c r="F198" s="33" t="str">
        <x:v>Applied in project review</x:v>
      </x:c>
      <x:c r="G198" s="43" t="d">
        <x:v>2026-10-18T00:00:00.000Z</x:v>
      </x:c>
    </x:row>
    <x:row r="199" ht="120" customHeight="1">
      <x:c r="A199" s="33" t="str">
        <x:v>R-015</x:v>
      </x:c>
      <x:c r="B199" s="33" t="str">
        <x:v>D12</x:v>
      </x:c>
      <x:c r="C199" s="33" t="str">
        <x:v>Control effectiveness</x:v>
      </x:c>
      <x:c r="D199" s="33" t="str">
        <x:v>Effectiveness is not demonstrated. Absence forecasts, backup coverage and minimum staffing requirements are not evidenced.</x:v>
      </x:c>
      <x:c r="E199" s="33" t="str">
        <x:v>Existing staffing is capacity, not a tested continuity control. Backup coverage and support effectiveness remain unverified.</x:v>
      </x:c>
      <x:c r="F199" s="33" t="str">
        <x:v>Applied in project review</x:v>
      </x:c>
      <x:c r="G199" s="43" t="d">
        <x:v>2026-10-18T00:00:00.000Z</x:v>
      </x:c>
    </x:row>
    <x:row r="200" ht="120" customHeight="1">
      <x:c r="A200" s="33" t="str">
        <x:v>R-015</x:v>
      </x:c>
      <x:c r="B200" s="33" t="str">
        <x:v>D12; D13</x:v>
      </x:c>
      <x:c r="C200" s="33" t="str">
        <x:v>Evidence and experience</x:v>
      </x:c>
      <x:c r="D200" s="33" t="str">
        <x:v>See Source Records for R-015 and Source Text for the original references. No verified internal incident history or empirical probability estimate is supplied. Historical examples require a scenario-date and relevance check before use.</x:v>
      </x:c>
      <x:c r="E200" s="33"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F200" s="33" t="str">
        <x:v>Applied in project review</x:v>
      </x:c>
      <x:c r="G200" s="43" t="d">
        <x:v>2026-10-18T00:00:00.000Z</x:v>
      </x:c>
    </x:row>
    <x:row r="201" ht="120" customHeight="1">
      <x:c r="A201" s="33" t="str">
        <x:v>R-015</x:v>
      </x:c>
      <x:c r="B201" s="33" t="str">
        <x:v>D12 draft</x:v>
      </x:c>
      <x:c r="C201" s="33" t="str">
        <x:v>Tolerability reasoning</x:v>
      </x:c>
      <x:c r="D201" s="33" t="str">
        <x:v>The supplied information does not establish the remaining exposure after controls. Absence forecasts, backup coverage and minimum staffing requirements are not evidenced. A tolerability decision must consider the agreed appetite and the need to sustain essential staffing.</x:v>
      </x:c>
      <x:c r="E201" s="33" t="str">
        <x:v>Awaiting assessment: the case does not quantify the exposure and available financial capacity sufficiently to decide whether the remaining risk fits appetite. Absence forecasts, backup coverage and minimum staffing requirements are not evidenced. Continued operations require this assessment; a High or Extreme inherent rating alone is not a tolerability decision.</x:v>
      </x:c>
      <x:c r="F201" s="33" t="str">
        <x:v>Applied in project review</x:v>
      </x:c>
      <x:c r="G201" s="43" t="d">
        <x:v>2026-10-18T00:00:00.000Z</x:v>
      </x:c>
    </x:row>
    <x:row r="202" ht="120" customHeight="1">
      <x:c r="A202" s="33" t="str">
        <x:v>R-015</x:v>
      </x:c>
      <x:c r="B202" s="33" t="str">
        <x:v>D14</x:v>
      </x:c>
      <x:c r="C202" s="33" t="str">
        <x:v>Risk owner</x:v>
      </x:c>
      <x:c r="D202" s="33" t="str">
        <x:v>Unassigned</x:v>
      </x:c>
      <x:c r="E202" s="33" t="str">
        <x:v>Designated HR lead</x:v>
      </x:c>
      <x:c r="F202" s="33" t="str">
        <x:v>Applied in project review</x:v>
      </x:c>
      <x:c r="G202" s="43" t="d">
        <x:v>2026-10-18T00:00:00.000Z</x:v>
      </x:c>
    </x:row>
    <x:row r="203" ht="120" customHeight="1">
      <x:c r="A203" s="33" t="str">
        <x:v>R-015</x:v>
      </x:c>
      <x:c r="B203" s="33" t="str">
        <x:v>D11 / D12</x:v>
      </x:c>
      <x:c r="C203" s="33" t="str">
        <x:v>Assessment status</x:v>
      </x:c>
      <x:c r="D203" s="33" t="str">
        <x:v>Draft for review</x:v>
      </x:c>
      <x:c r="E203" s="33" t="str">
        <x:v>Revised draft for review</x:v>
      </x:c>
      <x:c r="F203" s="33" t="str">
        <x:v>Applied in project review</x:v>
      </x:c>
      <x:c r="G203" s="43" t="d">
        <x:v>2026-10-18T00:00:00.000Z</x:v>
      </x:c>
    </x:row>
    <x:row r="204" ht="120" customHeight="1">
      <x:c r="A204" s="33" t="str">
        <x:v>R-015</x:v>
      </x:c>
      <x:c r="B204" s="33" t="str">
        <x:v>D13</x:v>
      </x:c>
      <x:c r="C204" s="33" t="str">
        <x:v>Longer-term exposure</x:v>
      </x:c>
      <x:c r="D204" s="33" t="str">
        <x:v>Consequences may extend beyond three months; reassess during weekly reviews.</x:v>
      </x:c>
      <x:c r="E204" s="33" t="str">
        <x:v>Consequences may extend beyond three months; reassess during weekly reviews. Initial likelihood horizon ends 2020-06-30; later information belongs to dated reviews.</x:v>
      </x:c>
      <x:c r="F204" s="33" t="str">
        <x:v>Applied in project review</x:v>
      </x:c>
      <x:c r="G204" s="43" t="d">
        <x:v>2026-10-18T00:00:00.000Z</x:v>
      </x:c>
    </x:row>
    <x:row r="205" ht="120" customHeight="1">
      <x:c r="A205" s="33" t="str">
        <x:v>R-015</x:v>
      </x:c>
      <x:c r="B205" s="33" t="str">
        <x:v>Review batch</x:v>
      </x:c>
      <x:c r="C205" s="33" t="str">
        <x:v>Revision notes</x:v>
      </x:c>
      <x:c r="D205" s="33" t="str">
        <x:v>Cause, event and impact separated; wording aligned to pandemic onset. Source evidence and controls remain unverified.</x:v>
      </x:c>
      <x:c r="E205" s="33" t="str">
        <x:v>Cause, event and impact separated; wording aligned to pandemic onset. Source evidence and controls remain unverified. Decisions applied: D11; D12–D14. See Decision Log for specific before/after values.</x:v>
      </x:c>
      <x:c r="F205" s="33" t="str">
        <x:v>Applied in project review</x:v>
      </x:c>
      <x:c r="G205" s="43" t="d">
        <x:v>2026-10-18T00:00:00.000Z</x:v>
      </x:c>
    </x:row>
    <x:row r="206" ht="120" customHeight="1">
      <x:c r="A206" s="33" t="str">
        <x:v>R-016</x:v>
      </x:c>
      <x:c r="B206" s="33" t="str">
        <x:v>D13</x:v>
      </x:c>
      <x:c r="C206" s="33" t="str">
        <x:v>Likelihood horizon</x:v>
      </x:c>
      <x:c r="D206" s="33" t="str">
        <x:v>Initial three months</x:v>
      </x:c>
      <x:c r="E206" s="33" t="str">
        <x:v>2020-04-01 to 2020-06-30</x:v>
      </x:c>
      <x:c r="F206" s="33" t="str">
        <x:v>Applied in project review</x:v>
      </x:c>
      <x:c r="G206" s="43" t="d">
        <x:v>2026-10-18T00:00:00.000Z</x:v>
      </x:c>
    </x:row>
    <x:row r="207" ht="120" customHeight="1">
      <x:c r="A207" s="33" t="str">
        <x:v>R-016</x:v>
      </x:c>
      <x:c r="B207" s="33" t="str">
        <x:v>D12</x:v>
      </x:c>
      <x:c r="C207" s="33" t="str">
        <x:v>Existing controls</x:v>
      </x:c>
      <x:c r="D207" s="33" t="str">
        <x:v>No relevant operating control is evidenced in the supplied controls assessment.</x:v>
      </x:c>
      <x:c r="E207" s="33" t="str">
        <x:v>No staff-continuity or wellbeing control is specified in the case. Assessment assumption: Sam’s reported preparation gaps apply at the assessment date.</x:v>
      </x:c>
      <x:c r="F207" s="33" t="str">
        <x:v>Applied in project review</x:v>
      </x:c>
      <x:c r="G207" s="43" t="d">
        <x:v>2026-10-18T00:00:00.000Z</x:v>
      </x:c>
    </x:row>
    <x:row r="208" ht="120" customHeight="1">
      <x:c r="A208" s="33" t="str">
        <x:v>R-016</x:v>
      </x:c>
      <x:c r="B208" s="33" t="str">
        <x:v>D12</x:v>
      </x:c>
      <x:c r="C208" s="33" t="str">
        <x:v>Control evidence status</x:v>
      </x:c>
      <x:c r="D208" s="33" t="str">
        <x:v>Not evidenced in supplied material; absence is not confirmed.</x:v>
      </x:c>
      <x:c r="E208" s="33" t="str">
        <x:v>Mixed evidence: case arrangements plus explicit team assumptions; see Evidence and experience.</x:v>
      </x:c>
      <x:c r="F208" s="33" t="str">
        <x:v>Applied in project review</x:v>
      </x:c>
      <x:c r="G208" s="43" t="d">
        <x:v>2026-10-18T00:00:00.000Z</x:v>
      </x:c>
    </x:row>
    <x:row r="209" ht="120" customHeight="1">
      <x:c r="A209" s="33" t="str">
        <x:v>R-016</x:v>
      </x:c>
      <x:c r="B209" s="33" t="str">
        <x:v>D12</x:v>
      </x:c>
      <x:c r="C209" s="33" t="str">
        <x:v>Control effectiveness</x:v>
      </x:c>
      <x:c r="D209" s="33" t="str">
        <x:v>Effectiveness is not demonstrated. Role inventories, trained backups and replacement lead times need verification.</x:v>
      </x:c>
      <x:c r="E209" s="33" t="str">
        <x:v>Existing staffing is capacity, not a tested continuity control. Backup coverage and support effectiveness remain unverified.</x:v>
      </x:c>
      <x:c r="F209" s="33" t="str">
        <x:v>Applied in project review</x:v>
      </x:c>
      <x:c r="G209" s="43" t="d">
        <x:v>2026-10-18T00:00:00.000Z</x:v>
      </x:c>
    </x:row>
    <x:row r="210" ht="120" customHeight="1">
      <x:c r="A210" s="33" t="str">
        <x:v>R-016</x:v>
      </x:c>
      <x:c r="B210" s="33" t="str">
        <x:v>D12; D13</x:v>
      </x:c>
      <x:c r="C210" s="33" t="str">
        <x:v>Evidence and experience</x:v>
      </x:c>
      <x:c r="D210" s="33" t="str">
        <x:v>See Source Records for R-016 and Source Text for the original references. No verified internal incident history or empirical probability estimate is supplied. Historical examples require a scenario-date and relevance check before use.</x:v>
      </x:c>
      <x:c r="E210" s="33"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F210" s="33" t="str">
        <x:v>Applied in project review</x:v>
      </x:c>
      <x:c r="G210" s="43" t="d">
        <x:v>2026-10-18T00:00:00.000Z</x:v>
      </x:c>
    </x:row>
    <x:row r="211" ht="120" customHeight="1">
      <x:c r="A211" s="33" t="str">
        <x:v>R-016</x:v>
      </x:c>
      <x:c r="B211" s="33" t="str">
        <x:v>D12 draft</x:v>
      </x:c>
      <x:c r="C211" s="33" t="str">
        <x:v>Tolerability reasoning</x:v>
      </x:c>
      <x:c r="D211" s="33" t="str">
        <x:v>The supplied information does not establish the remaining exposure after controls. Role inventories, trained backups and replacement lead times need verification. A tolerability decision must consider the agreed appetite and the need to sustain specialist knowledge and continuity.</x:v>
      </x:c>
      <x:c r="E211" s="33" t="str">
        <x:v>Awaiting assessment: the case does not quantify the exposure and available financial capacity sufficiently to decide whether the remaining risk fits appetite. Role inventories, trained backups and replacement lead times need verification. Continued operations require this assessment; a High or Extreme inherent rating alone is not a tolerability decision.</x:v>
      </x:c>
      <x:c r="F211" s="33" t="str">
        <x:v>Applied in project review</x:v>
      </x:c>
      <x:c r="G211" s="43" t="d">
        <x:v>2026-10-18T00:00:00.000Z</x:v>
      </x:c>
    </x:row>
    <x:row r="212" ht="120" customHeight="1">
      <x:c r="A212" s="33" t="str">
        <x:v>R-016</x:v>
      </x:c>
      <x:c r="B212" s="33" t="str">
        <x:v>D14</x:v>
      </x:c>
      <x:c r="C212" s="33" t="str">
        <x:v>Risk owner</x:v>
      </x:c>
      <x:c r="D212" s="33" t="str">
        <x:v>Unassigned</x:v>
      </x:c>
      <x:c r="E212" s="33" t="str">
        <x:v>Designated HR lead</x:v>
      </x:c>
      <x:c r="F212" s="33" t="str">
        <x:v>Applied in project review</x:v>
      </x:c>
      <x:c r="G212" s="43" t="d">
        <x:v>2026-10-18T00:00:00.000Z</x:v>
      </x:c>
    </x:row>
    <x:row r="213" ht="120" customHeight="1">
      <x:c r="A213" s="33" t="str">
        <x:v>R-016</x:v>
      </x:c>
      <x:c r="B213" s="33" t="str">
        <x:v>D11 / D12</x:v>
      </x:c>
      <x:c r="C213" s="33" t="str">
        <x:v>Assessment status</x:v>
      </x:c>
      <x:c r="D213" s="33" t="str">
        <x:v>Draft for review</x:v>
      </x:c>
      <x:c r="E213" s="33" t="str">
        <x:v>Revised draft for review</x:v>
      </x:c>
      <x:c r="F213" s="33" t="str">
        <x:v>Applied in project review</x:v>
      </x:c>
      <x:c r="G213" s="43" t="d">
        <x:v>2026-10-18T00:00:00.000Z</x:v>
      </x:c>
    </x:row>
    <x:row r="214" ht="120" customHeight="1">
      <x:c r="A214" s="33" t="str">
        <x:v>R-016</x:v>
      </x:c>
      <x:c r="B214" s="33" t="str">
        <x:v>D13</x:v>
      </x:c>
      <x:c r="C214" s="33" t="str">
        <x:v>Longer-term exposure</x:v>
      </x:c>
      <x:c r="D214" s="33" t="str">
        <x:v>Consequences may extend beyond three months; reassess during weekly reviews.</x:v>
      </x:c>
      <x:c r="E214" s="33" t="str">
        <x:v>Consequences may extend beyond three months; reassess during weekly reviews. Initial likelihood horizon ends 2020-06-30; later information belongs to dated reviews.</x:v>
      </x:c>
      <x:c r="F214" s="33" t="str">
        <x:v>Applied in project review</x:v>
      </x:c>
      <x:c r="G214" s="43" t="d">
        <x:v>2026-10-18T00:00:00.000Z</x:v>
      </x:c>
    </x:row>
    <x:row r="215" ht="120" customHeight="1">
      <x:c r="A215" s="33" t="str">
        <x:v>R-016</x:v>
      </x:c>
      <x:c r="B215" s="33" t="str">
        <x:v>Review batch</x:v>
      </x:c>
      <x:c r="C215" s="33" t="str">
        <x:v>Revision notes</x:v>
      </x:c>
      <x:c r="D215" s="33" t="str">
        <x:v>Cause, event and impact separated; wording aligned to pandemic onset. Source evidence and controls remain unverified.</x:v>
      </x:c>
      <x:c r="E215" s="33" t="str">
        <x:v>Cause, event and impact separated; wording aligned to pandemic onset. Source evidence and controls remain unverified. Decisions applied: D11; D12–D14. See Decision Log for specific before/after values.</x:v>
      </x:c>
      <x:c r="F215" s="33" t="str">
        <x:v>Applied in project review</x:v>
      </x:c>
      <x:c r="G215" s="43" t="d">
        <x:v>2026-10-18T00:00:00.000Z</x:v>
      </x:c>
    </x:row>
    <x:row r="216" ht="120" customHeight="1">
      <x:c r="A216" s="33" t="str">
        <x:v>R-017</x:v>
      </x:c>
      <x:c r="B216" s="33" t="str">
        <x:v>D13</x:v>
      </x:c>
      <x:c r="C216" s="33" t="str">
        <x:v>Likelihood horizon</x:v>
      </x:c>
      <x:c r="D216" s="33" t="str">
        <x:v>Initial three months</x:v>
      </x:c>
      <x:c r="E216" s="33" t="str">
        <x:v>2020-04-01 to 2020-06-30</x:v>
      </x:c>
      <x:c r="F216" s="33" t="str">
        <x:v>Applied in project review</x:v>
      </x:c>
      <x:c r="G216" s="43" t="d">
        <x:v>2026-10-18T00:00:00.000Z</x:v>
      </x:c>
    </x:row>
    <x:row r="217" ht="120" customHeight="1">
      <x:c r="A217" s="33" t="str">
        <x:v>R-017</x:v>
      </x:c>
      <x:c r="B217" s="33" t="str">
        <x:v>D12</x:v>
      </x:c>
      <x:c r="C217" s="33" t="str">
        <x:v>Existing controls</x:v>
      </x:c>
      <x:c r="D217" s="33" t="str">
        <x:v>No relevant operating control is evidenced in the supplied controls assessment.</x:v>
      </x:c>
      <x:c r="E217" s="33" t="str">
        <x:v>No staff-continuity or wellbeing control is specified in the case. Assessment assumption: Sam’s reported preparation gaps apply at the assessment date.</x:v>
      </x:c>
      <x:c r="F217" s="33" t="str">
        <x:v>Applied in project review</x:v>
      </x:c>
      <x:c r="G217" s="43" t="d">
        <x:v>2026-10-18T00:00:00.000Z</x:v>
      </x:c>
    </x:row>
    <x:row r="218" ht="120" customHeight="1">
      <x:c r="A218" s="33" t="str">
        <x:v>R-017</x:v>
      </x:c>
      <x:c r="B218" s="33" t="str">
        <x:v>D12</x:v>
      </x:c>
      <x:c r="C218" s="33" t="str">
        <x:v>Control evidence status</x:v>
      </x:c>
      <x:c r="D218" s="33" t="str">
        <x:v>Not evidenced in supplied material; absence is not confirmed.</x:v>
      </x:c>
      <x:c r="E218" s="33" t="str">
        <x:v>Mixed evidence: case arrangements plus explicit team assumptions; see Evidence and experience.</x:v>
      </x:c>
      <x:c r="F218" s="33" t="str">
        <x:v>Applied in project review</x:v>
      </x:c>
      <x:c r="G218" s="43" t="d">
        <x:v>2026-10-18T00:00:00.000Z</x:v>
      </x:c>
    </x:row>
    <x:row r="219" ht="120" customHeight="1">
      <x:c r="A219" s="33" t="str">
        <x:v>R-017</x:v>
      </x:c>
      <x:c r="B219" s="33" t="str">
        <x:v>D12</x:v>
      </x:c>
      <x:c r="C219" s="33" t="str">
        <x:v>Control effectiveness</x:v>
      </x:c>
      <x:c r="D219" s="33" t="str">
        <x:v>Effectiveness is not demonstrated. Evidence of assigned roles, coordination capacity and reporting in operation is needed.</x:v>
      </x:c>
      <x:c r="E219" s="33" t="str">
        <x:v>Existing staffing is capacity, not a tested continuity control. Backup coverage and support effectiveness remain unverified.</x:v>
      </x:c>
      <x:c r="F219" s="33" t="str">
        <x:v>Applied in project review</x:v>
      </x:c>
      <x:c r="G219" s="43" t="d">
        <x:v>2026-10-18T00:00:00.000Z</x:v>
      </x:c>
    </x:row>
    <x:row r="220" ht="120" customHeight="1">
      <x:c r="A220" s="33" t="str">
        <x:v>R-017</x:v>
      </x:c>
      <x:c r="B220" s="33" t="str">
        <x:v>D12; D13</x:v>
      </x:c>
      <x:c r="C220" s="33" t="str">
        <x:v>Evidence and experience</x:v>
      </x:c>
      <x:c r="D220" s="33" t="str">
        <x:v>See Source Records for R-017 and Source Text for the original references. No verified internal incident history or empirical probability estimate is supplied. Historical examples require a scenario-date and relevance check before use.</x:v>
      </x:c>
      <x:c r="E220" s="33"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F220" s="33" t="str">
        <x:v>Applied in project review</x:v>
      </x:c>
      <x:c r="G220" s="43" t="d">
        <x:v>2026-10-18T00:00:00.000Z</x:v>
      </x:c>
    </x:row>
    <x:row r="221" ht="120" customHeight="1">
      <x:c r="A221" s="33" t="str">
        <x:v>R-017</x:v>
      </x:c>
      <x:c r="B221" s="33" t="str">
        <x:v>D12 draft</x:v>
      </x:c>
      <x:c r="C221" s="33" t="str">
        <x:v>Tolerability</x:v>
      </x:c>
      <x:c r="D221" s="33" t="str">
        <x:v>Awaiting assessment</x:v>
      </x:c>
      <x:c r="E221" s="33" t="str">
        <x:v>Not tolerable</x:v>
      </x:c>
      <x:c r="F221" s="33" t="str">
        <x:v>Applied in project review</x:v>
      </x:c>
      <x:c r="G221" s="43" t="d">
        <x:v>2026-10-18T00:00:00.000Z</x:v>
      </x:c>
    </x:row>
    <x:row r="222" ht="120" customHeight="1">
      <x:c r="A222" s="33" t="str">
        <x:v>R-017</x:v>
      </x:c>
      <x:c r="B222" s="33" t="str">
        <x:v>D12 draft</x:v>
      </x:c>
      <x:c r="C222" s="33" t="str">
        <x:v>Tolerability reasoning</x:v>
      </x:c>
      <x:c r="D222" s="33" t="str">
        <x:v>The supplied information does not establish the remaining exposure after controls. Evidence of assigned roles, coordination capacity and reporting in operation is needed. A tolerability decision must consider the agreed appetite and the need to sustain risk oversight and timely decisions.</x:v>
      </x:c>
      <x:c r="E222" s="33" t="str">
        <x:v>Not tolerable if the assumed accountability and escalation gaps persist. No full-time specialist is not itself unacceptable; unclear ownership of material risks is the concern.</x:v>
      </x:c>
      <x:c r="F222" s="33" t="str">
        <x:v>Applied in project review</x:v>
      </x:c>
      <x:c r="G222" s="43" t="d">
        <x:v>2026-10-18T00:00:00.000Z</x:v>
      </x:c>
    </x:row>
    <x:row r="223" ht="120" customHeight="1">
      <x:c r="A223" s="33" t="str">
        <x:v>R-017</x:v>
      </x:c>
      <x:c r="B223" s="33" t="str">
        <x:v>D14</x:v>
      </x:c>
      <x:c r="C223" s="33" t="str">
        <x:v>Risk owner</x:v>
      </x:c>
      <x:c r="D223" s="33" t="str">
        <x:v>Unassigned</x:v>
      </x:c>
      <x:c r="E223" s="33" t="str">
        <x:v>Designated Executive Director</x:v>
      </x:c>
      <x:c r="F223" s="33" t="str">
        <x:v>Applied in project review</x:v>
      </x:c>
      <x:c r="G223" s="43" t="d">
        <x:v>2026-10-18T00:00:00.000Z</x:v>
      </x:c>
    </x:row>
    <x:row r="224" ht="120" customHeight="1">
      <x:c r="A224" s="33" t="str">
        <x:v>R-017</x:v>
      </x:c>
      <x:c r="B224" s="33" t="str">
        <x:v>D11 / D12</x:v>
      </x:c>
      <x:c r="C224" s="33" t="str">
        <x:v>Assessment status</x:v>
      </x:c>
      <x:c r="D224" s="33" t="str">
        <x:v>Draft for review</x:v>
      </x:c>
      <x:c r="E224" s="33" t="str">
        <x:v>Revised draft for review</x:v>
      </x:c>
      <x:c r="F224" s="33" t="str">
        <x:v>Applied in project review</x:v>
      </x:c>
      <x:c r="G224" s="43" t="d">
        <x:v>2026-10-18T00:00:00.000Z</x:v>
      </x:c>
    </x:row>
    <x:row r="225" ht="120" customHeight="1">
      <x:c r="A225" s="33" t="str">
        <x:v>R-017</x:v>
      </x:c>
      <x:c r="B225" s="33" t="str">
        <x:v>D13</x:v>
      </x:c>
      <x:c r="C225" s="33" t="str">
        <x:v>Longer-term exposure</x:v>
      </x:c>
      <x:c r="D225" s="33" t="str">
        <x:v>Consequences may extend beyond three months; reassess during weekly reviews.</x:v>
      </x:c>
      <x:c r="E225" s="33" t="str">
        <x:v>Consequences may extend beyond three months; reassess during weekly reviews. Initial likelihood horizon ends 2020-06-30; later information belongs to dated reviews.</x:v>
      </x:c>
      <x:c r="F225" s="33" t="str">
        <x:v>Applied in project review</x:v>
      </x:c>
      <x:c r="G225" s="43" t="d">
        <x:v>2026-10-18T00:00:00.000Z</x:v>
      </x:c>
    </x:row>
    <x:row r="226" ht="120" customHeight="1">
      <x:c r="A226" s="33" t="str">
        <x:v>R-017</x:v>
      </x:c>
      <x:c r="B226" s="33" t="str">
        <x:v>Review batch</x:v>
      </x:c>
      <x:c r="C226" s="33" t="str">
        <x:v>Revision notes</x:v>
      </x:c>
      <x:c r="D226" s="33" t="str">
        <x:v>Cause, event and impact separated; wording aligned to pandemic onset. Source evidence and controls remain unverified. Proposed code I1-P-04 to I1-G-02 based on primary cause or index placement. Proposed scores 5/3 to 3/4; see assessment reasoning. D01: Chris approved the Governance and Processes classification on 2026-10-18 (project review). Scores and other assessments remain provisional.</x:v>
      </x:c>
      <x:c r="E226" s="33" t="str">
        <x:v>Cause, event and impact separated; wording aligned to pandemic onset. Source evidence and controls remain unverified. Proposed code I1-P-04 to I1-G-02 based on primary cause or index placement. Proposed scores 5/3 to 3/4; see assessment reasoning. D01: Chris approved the Governance and Processes classification on 2026-10-18 (project review). Scores and other assessments remain provisional. Decisions applied: D01; D12–D14. See Decision Log for specific before/after values.</x:v>
      </x:c>
      <x:c r="F226" s="33" t="str">
        <x:v>Applied in project review</x:v>
      </x:c>
      <x:c r="G226" s="43" t="d">
        <x:v>2026-10-18T00:00:00.000Z</x:v>
      </x:c>
    </x:row>
    <x:row r="227" ht="120" customHeight="1">
      <x:c r="A227" s="33" t="str">
        <x:v>R-018</x:v>
      </x:c>
      <x:c r="B227" s="33" t="str">
        <x:v>D13</x:v>
      </x:c>
      <x:c r="C227" s="33" t="str">
        <x:v>Likelihood horizon</x:v>
      </x:c>
      <x:c r="D227" s="33" t="str">
        <x:v>Initial three months</x:v>
      </x:c>
      <x:c r="E227" s="33" t="str">
        <x:v>2020-04-01 to 2020-06-30</x:v>
      </x:c>
      <x:c r="F227" s="33" t="str">
        <x:v>Applied in project review</x:v>
      </x:c>
      <x:c r="G227" s="43" t="d">
        <x:v>2026-10-18T00:00:00.000Z</x:v>
      </x:c>
    </x:row>
    <x:row r="228" ht="120" customHeight="1">
      <x:c r="A228" s="33" t="str">
        <x:v>R-018</x:v>
      </x:c>
      <x:c r="B228" s="33" t="str">
        <x:v>D12</x:v>
      </x:c>
      <x:c r="C228" s="33" t="str">
        <x:v>Existing controls</x:v>
      </x:c>
      <x:c r="D228" s="33" t="str">
        <x:v>Existing office-based company equipment; suitability for remote deployment is unverified.</x:v>
      </x:c>
      <x:c r="E228" s="33" t="str">
        <x:v>Case: existing desktops and laptops. No secure remote-deployment readiness is specified.</x:v>
      </x:c>
      <x:c r="F228" s="33" t="str">
        <x:v>Applied in project review</x:v>
      </x:c>
      <x:c r="G228" s="43" t="d">
        <x:v>2026-10-18T00:00:00.000Z</x:v>
      </x:c>
    </x:row>
    <x:row r="229" ht="120" customHeight="1">
      <x:c r="A229" s="33" t="str">
        <x:v>R-018</x:v>
      </x:c>
      <x:c r="B229" s="33" t="str">
        <x:v>D12</x:v>
      </x:c>
      <x:c r="C229" s="33" t="str">
        <x:v>Control evidence status</x:v>
      </x:c>
      <x:c r="D229" s="33" t="str">
        <x:v>Reported in Sam’s draft; implementation and scope require verification.</x:v>
      </x:c>
      <x:c r="E229" s="33" t="str">
        <x:v>Mixed evidence: case arrangements plus explicit team assumptions; see Evidence and experience.</x:v>
      </x:c>
      <x:c r="F229" s="33" t="str">
        <x:v>Applied in project review</x:v>
      </x:c>
      <x:c r="G229" s="43" t="d">
        <x:v>2026-10-18T00:00:00.000Z</x:v>
      </x:c>
    </x:row>
    <x:row r="230" ht="120" customHeight="1">
      <x:c r="A230" s="33" t="str">
        <x:v>R-018</x:v>
      </x:c>
      <x:c r="B230" s="33" t="str">
        <x:v>D12</x:v>
      </x:c>
      <x:c r="C230" s="33" t="str">
        <x:v>Control effectiveness</x:v>
      </x:c>
      <x:c r="D230" s="33" t="str">
        <x:v>Effectiveness is not demonstrated. Device inventory, secure desktop redeployment and staff access readiness are unverified.</x:v>
      </x:c>
      <x:c r="E230" s="33" t="str">
        <x:v>Available equipment may support redeployment but does not establish that essential staff can work securely from home.</x:v>
      </x:c>
      <x:c r="F230" s="33" t="str">
        <x:v>Applied in project review</x:v>
      </x:c>
      <x:c r="G230" s="43" t="d">
        <x:v>2026-10-18T00:00:00.000Z</x:v>
      </x:c>
    </x:row>
    <x:row r="231" ht="120" customHeight="1">
      <x:c r="A231" s="33" t="str">
        <x:v>R-018</x:v>
      </x:c>
      <x:c r="B231" s="33" t="str">
        <x:v>D12; D13</x:v>
      </x:c>
      <x:c r="C231" s="33" t="str">
        <x:v>Evidence and experience</x:v>
      </x:c>
      <x:c r="D231" s="33" t="str">
        <x:v>See Source Records for R-018 and Source Text for the original references. No verified internal incident history or empirical probability estimate is supplied. Historical examples require a scenario-date and relevance check before use.</x:v>
      </x:c>
      <x:c r="E231" s="33" t="str">
        <x:v>Business outline(1).pdf: The case confirms 50 desktops, a couple of laptops and on-site servers (pp. 7–8). Secure remote suitability is unspecified. Team source: Sam’s Existing Controls.docx; original descriptions and examples are preserved by Record ID in Source Records. No internal incident history is verified. Only evidence available by 2020-04-01 can support the initial assessment.</x:v>
      </x:c>
      <x:c r="F231" s="33" t="str">
        <x:v>Applied in project review</x:v>
      </x:c>
      <x:c r="G231" s="43" t="d">
        <x:v>2026-10-18T00:00:00.000Z</x:v>
      </x:c>
    </x:row>
    <x:row r="232" ht="120" customHeight="1">
      <x:c r="A232" s="33" t="str">
        <x:v>R-018</x:v>
      </x:c>
      <x:c r="B232" s="33" t="str">
        <x:v>D12 draft</x:v>
      </x:c>
      <x:c r="C232" s="33" t="str">
        <x:v>Tolerability</x:v>
      </x:c>
      <x:c r="D232" s="33" t="str">
        <x:v>Awaiting assessment</x:v>
      </x:c>
      <x:c r="E232" s="33" t="str">
        <x:v>Not tolerable</x:v>
      </x:c>
      <x:c r="F232" s="33" t="str">
        <x:v>Applied in project review</x:v>
      </x:c>
      <x:c r="G232" s="43" t="d">
        <x:v>2026-10-18T00:00:00.000Z</x:v>
      </x:c>
    </x:row>
    <x:row r="233" ht="120" customHeight="1">
      <x:c r="A233" s="33" t="str">
        <x:v>R-018</x:v>
      </x:c>
      <x:c r="B233" s="33" t="str">
        <x:v>D12 draft</x:v>
      </x:c>
      <x:c r="C233" s="33" t="str">
        <x:v>Tolerability reasoning</x:v>
      </x:c>
      <x:c r="D233" s="33" t="str">
        <x:v>The supplied information does not establish the remaining exposure after controls. Device inventory, secure desktop redeployment and staff access readiness are unverified. A tolerability decision must consider the agreed appetite and the need to sustain equipment and essential staffing.</x:v>
      </x:c>
      <x:c r="E233" s="33" t="str">
        <x:v>Not tolerable under the assumed essential-role equipment shortfall. Redeployable desktops may change this judgment, but continuity cannot rely on unverified access.</x:v>
      </x:c>
      <x:c r="F233" s="33" t="str">
        <x:v>Applied in project review</x:v>
      </x:c>
      <x:c r="G233" s="43" t="d">
        <x:v>2026-10-18T00:00:00.000Z</x:v>
      </x:c>
    </x:row>
    <x:row r="234" ht="120" customHeight="1">
      <x:c r="A234" s="33" t="str">
        <x:v>R-018</x:v>
      </x:c>
      <x:c r="B234" s="33" t="str">
        <x:v>D14</x:v>
      </x:c>
      <x:c r="C234" s="33" t="str">
        <x:v>Risk owner</x:v>
      </x:c>
      <x:c r="D234" s="33" t="str">
        <x:v>Unassigned</x:v>
      </x:c>
      <x:c r="E234" s="33" t="str">
        <x:v>Network Manager</x:v>
      </x:c>
      <x:c r="F234" s="33" t="str">
        <x:v>Applied in project review</x:v>
      </x:c>
      <x:c r="G234" s="43" t="d">
        <x:v>2026-10-18T00:00:00.000Z</x:v>
      </x:c>
    </x:row>
    <x:row r="235" ht="120" customHeight="1">
      <x:c r="A235" s="33" t="str">
        <x:v>R-018</x:v>
      </x:c>
      <x:c r="B235" s="33" t="str">
        <x:v>D11 / D12</x:v>
      </x:c>
      <x:c r="C235" s="33" t="str">
        <x:v>Assessment status</x:v>
      </x:c>
      <x:c r="D235" s="33" t="str">
        <x:v>Draft for review</x:v>
      </x:c>
      <x:c r="E235" s="33" t="str">
        <x:v>Revised draft for review</x:v>
      </x:c>
      <x:c r="F235" s="33" t="str">
        <x:v>Applied in project review</x:v>
      </x:c>
      <x:c r="G235" s="43" t="d">
        <x:v>2026-10-18T00:00:00.000Z</x:v>
      </x:c>
    </x:row>
    <x:row r="236" ht="120" customHeight="1">
      <x:c r="A236" s="33" t="str">
        <x:v>R-018</x:v>
      </x:c>
      <x:c r="B236" s="33" t="str">
        <x:v>D13</x:v>
      </x:c>
      <x:c r="C236" s="33" t="str">
        <x:v>Longer-term exposure</x:v>
      </x:c>
      <x:c r="D236" s="33" t="str">
        <x:v>Consequences may extend beyond three months; reassess during weekly reviews.</x:v>
      </x:c>
      <x:c r="E236" s="33" t="str">
        <x:v>Consequences may extend beyond three months; reassess during weekly reviews. Initial likelihood horizon ends 2020-06-30; later information belongs to dated reviews.</x:v>
      </x:c>
      <x:c r="F236" s="33" t="str">
        <x:v>Applied in project review</x:v>
      </x:c>
      <x:c r="G236" s="43" t="d">
        <x:v>2026-10-18T00:00:00.000Z</x:v>
      </x:c>
    </x:row>
    <x:row r="237" ht="120" customHeight="1">
      <x:c r="A237" s="33" t="str">
        <x:v>R-018</x:v>
      </x:c>
      <x:c r="B237" s="33" t="str">
        <x:v>Review batch</x:v>
      </x:c>
      <x:c r="C237" s="33" t="str">
        <x:v>Revision notes</x:v>
      </x:c>
      <x:c r="D237" s="33" t="str">
        <x:v>Cause, event and impact separated; wording aligned to pandemic onset. Source evidence and controls remain unverified. Proposed scores 5/4 to 4/4; see assessment reasoning.</x:v>
      </x:c>
      <x:c r="E237" s="33" t="str">
        <x:v>Cause, event and impact separated; wording aligned to pandemic onset. Source evidence and controls remain unverified. Proposed scores 5/4 to 4/4; see assessment reasoning. Decisions applied: D11; D12–D14. See Decision Log for specific before/after values.</x:v>
      </x:c>
      <x:c r="F237" s="33" t="str">
        <x:v>Applied in project review</x:v>
      </x:c>
      <x:c r="G237" s="43" t="d">
        <x:v>2026-10-18T00:00:00.000Z</x:v>
      </x:c>
    </x:row>
    <x:row r="238" ht="120" customHeight="1">
      <x:c r="A238" s="33" t="str">
        <x:v>R-019</x:v>
      </x:c>
      <x:c r="B238" s="33" t="str">
        <x:v>D13</x:v>
      </x:c>
      <x:c r="C238" s="33" t="str">
        <x:v>Likelihood horizon</x:v>
      </x:c>
      <x:c r="D238" s="33" t="str">
        <x:v>Initial three months</x:v>
      </x:c>
      <x:c r="E238" s="33" t="str">
        <x:v>2020-04-01 to 2020-06-30</x:v>
      </x:c>
      <x:c r="F238" s="33" t="str">
        <x:v>Applied in project review</x:v>
      </x:c>
      <x:c r="G238" s="43" t="d">
        <x:v>2026-10-18T00:00:00.000Z</x:v>
      </x:c>
    </x:row>
    <x:row r="239" ht="120" customHeight="1">
      <x:c r="A239" s="33" t="str">
        <x:v>R-019</x:v>
      </x:c>
      <x:c r="B239" s="33" t="str">
        <x:v>D12</x:v>
      </x:c>
      <x:c r="C239" s="33" t="str">
        <x:v>Existing controls</x:v>
      </x:c>
      <x:c r="D239" s="33" t="str">
        <x:v>Existing office-based company equipment; suitability for remote deployment is unverified.</x:v>
      </x:c>
      <x:c r="E239" s="33" t="str">
        <x:v>Case: existing desktops and laptops. No secure remote-deployment readiness is specified.</x:v>
      </x:c>
      <x:c r="F239" s="33" t="str">
        <x:v>Applied in project review</x:v>
      </x:c>
      <x:c r="G239" s="43" t="d">
        <x:v>2026-10-18T00:00:00.000Z</x:v>
      </x:c>
    </x:row>
    <x:row r="240" ht="120" customHeight="1">
      <x:c r="A240" s="33" t="str">
        <x:v>R-019</x:v>
      </x:c>
      <x:c r="B240" s="33" t="str">
        <x:v>D12</x:v>
      </x:c>
      <x:c r="C240" s="33" t="str">
        <x:v>Control evidence status</x:v>
      </x:c>
      <x:c r="D240" s="33" t="str">
        <x:v>Reported in Sam’s draft; implementation and scope require verification.</x:v>
      </x:c>
      <x:c r="E240" s="33" t="str">
        <x:v>Mixed evidence: case arrangements plus explicit team assumptions; see Evidence and experience.</x:v>
      </x:c>
      <x:c r="F240" s="33" t="str">
        <x:v>Applied in project review</x:v>
      </x:c>
      <x:c r="G240" s="43" t="d">
        <x:v>2026-10-18T00:00:00.000Z</x:v>
      </x:c>
    </x:row>
    <x:row r="241" ht="120" customHeight="1">
      <x:c r="A241" s="33" t="str">
        <x:v>R-019</x:v>
      </x:c>
      <x:c r="B241" s="33" t="str">
        <x:v>D12</x:v>
      </x:c>
      <x:c r="C241" s="33" t="str">
        <x:v>Control effectiveness</x:v>
      </x:c>
      <x:c r="D241" s="33" t="str">
        <x:v>Effectiveness is not demonstrated. Essential access permissions, maintenance coverage and remote support need confirmation.</x:v>
      </x:c>
      <x:c r="E241" s="33" t="str">
        <x:v>Available equipment may support redeployment but does not establish that essential staff can work securely from home.</x:v>
      </x:c>
      <x:c r="F241" s="33" t="str">
        <x:v>Applied in project review</x:v>
      </x:c>
      <x:c r="G241" s="43" t="d">
        <x:v>2026-10-18T00:00:00.000Z</x:v>
      </x:c>
    </x:row>
    <x:row r="242" ht="120" customHeight="1">
      <x:c r="A242" s="33" t="str">
        <x:v>R-019</x:v>
      </x:c>
      <x:c r="B242" s="33" t="str">
        <x:v>D12; D13</x:v>
      </x:c>
      <x:c r="C242" s="33" t="str">
        <x:v>Evidence and experience</x:v>
      </x:c>
      <x:c r="D242" s="33" t="str">
        <x:v>See Source Records for R-019 and Source Text for the original references. No verified internal incident history or empirical probability estimate is supplied. Historical examples require a scenario-date and relevance check before use.</x:v>
      </x:c>
      <x:c r="E242" s="33" t="str">
        <x:v>Business outline(1).pdf: The case confirms 50 desktops, a couple of laptops and on-site servers (pp. 7–8). Secure remote suitability is unspecified. Team source: Sam’s Existing Controls.docx; original descriptions and examples are preserved by Record ID in Source Records. No internal incident history is verified. Only evidence available by 2020-04-01 can support the initial assessment.</x:v>
      </x:c>
      <x:c r="F242" s="33" t="str">
        <x:v>Applied in project review</x:v>
      </x:c>
      <x:c r="G242" s="43" t="d">
        <x:v>2026-10-18T00:00:00.000Z</x:v>
      </x:c>
    </x:row>
    <x:row r="243" ht="120" customHeight="1">
      <x:c r="A243" s="33" t="str">
        <x:v>R-019</x:v>
      </x:c>
      <x:c r="B243" s="33" t="str">
        <x:v>D12 draft</x:v>
      </x:c>
      <x:c r="C243" s="33" t="str">
        <x:v>Tolerability</x:v>
      </x:c>
      <x:c r="D243" s="33" t="str">
        <x:v>Awaiting assessment</x:v>
      </x:c>
      <x:c r="E243" s="33" t="str">
        <x:v>Tolerable</x:v>
      </x:c>
      <x:c r="F243" s="33" t="str">
        <x:v>Applied in project review</x:v>
      </x:c>
      <x:c r="G243" s="43" t="d">
        <x:v>2026-10-18T00:00:00.000Z</x:v>
      </x:c>
    </x:row>
    <x:row r="244" ht="120" customHeight="1">
      <x:c r="A244" s="33" t="str">
        <x:v>R-019</x:v>
      </x:c>
      <x:c r="B244" s="33" t="str">
        <x:v>D12 draft</x:v>
      </x:c>
      <x:c r="C244" s="33" t="str">
        <x:v>Tolerability reasoning</x:v>
      </x:c>
      <x:c r="D244" s="33" t="str">
        <x:v>The supplied information does not establish the remaining exposure after controls. Essential access permissions, maintenance coverage and remote support need confirmation. A tolerability decision must consider the agreed appetite and the need to sustain premises and technology.</x:v>
      </x:c>
      <x:c r="E244" s="33" t="str">
        <x:v>Tolerable as a provisional, limited maintenance-delay scenario if remote support or permitted essential access preserves core services. This assumption is unverified; inability to maintain critical systems would make the exposure not tolerable.</x:v>
      </x:c>
      <x:c r="F244" s="33" t="str">
        <x:v>Applied in project review</x:v>
      </x:c>
      <x:c r="G244" s="43" t="d">
        <x:v>2026-10-18T00:00:00.000Z</x:v>
      </x:c>
    </x:row>
    <x:row r="245" ht="120" customHeight="1">
      <x:c r="A245" s="33" t="str">
        <x:v>R-019</x:v>
      </x:c>
      <x:c r="B245" s="33" t="str">
        <x:v>D14</x:v>
      </x:c>
      <x:c r="C245" s="33" t="str">
        <x:v>Risk owner</x:v>
      </x:c>
      <x:c r="D245" s="33" t="str">
        <x:v>Unassigned</x:v>
      </x:c>
      <x:c r="E245" s="33" t="str">
        <x:v>Network Manager</x:v>
      </x:c>
      <x:c r="F245" s="33" t="str">
        <x:v>Applied in project review</x:v>
      </x:c>
      <x:c r="G245" s="43" t="d">
        <x:v>2026-10-18T00:00:00.000Z</x:v>
      </x:c>
    </x:row>
    <x:row r="246" ht="120" customHeight="1">
      <x:c r="A246" s="33" t="str">
        <x:v>R-019</x:v>
      </x:c>
      <x:c r="B246" s="33" t="str">
        <x:v>D11 / D12</x:v>
      </x:c>
      <x:c r="C246" s="33" t="str">
        <x:v>Assessment status</x:v>
      </x:c>
      <x:c r="D246" s="33" t="str">
        <x:v>Draft for review</x:v>
      </x:c>
      <x:c r="E246" s="33" t="str">
        <x:v>Revised draft for review</x:v>
      </x:c>
      <x:c r="F246" s="33" t="str">
        <x:v>Applied in project review</x:v>
      </x:c>
      <x:c r="G246" s="43" t="d">
        <x:v>2026-10-18T00:00:00.000Z</x:v>
      </x:c>
    </x:row>
    <x:row r="247" ht="120" customHeight="1">
      <x:c r="A247" s="33" t="str">
        <x:v>R-019</x:v>
      </x:c>
      <x:c r="B247" s="33" t="str">
        <x:v>D13</x:v>
      </x:c>
      <x:c r="C247" s="33" t="str">
        <x:v>Longer-term exposure</x:v>
      </x:c>
      <x:c r="D247" s="33" t="str">
        <x:v>Consequences may extend beyond three months; reassess during weekly reviews.</x:v>
      </x:c>
      <x:c r="E247" s="33" t="str">
        <x:v>Consequences may extend beyond three months; reassess during weekly reviews. Initial likelihood horizon ends 2020-06-30; later information belongs to dated reviews.</x:v>
      </x:c>
      <x:c r="F247" s="33" t="str">
        <x:v>Applied in project review</x:v>
      </x:c>
      <x:c r="G247" s="43" t="d">
        <x:v>2026-10-18T00:00:00.000Z</x:v>
      </x:c>
    </x:row>
    <x:row r="248" ht="120" customHeight="1">
      <x:c r="A248" s="33" t="str">
        <x:v>R-019</x:v>
      </x:c>
      <x:c r="B248" s="33" t="str">
        <x:v>Review batch</x:v>
      </x:c>
      <x:c r="C248" s="33" t="str">
        <x:v>Revision notes</x:v>
      </x:c>
      <x:c r="D248" s="33" t="str">
        <x:v>Cause, event and impact separated; wording aligned to pandemic onset. Source evidence and controls remain unverified.</x:v>
      </x:c>
      <x:c r="E248" s="33" t="str">
        <x:v>Cause, event and impact separated; wording aligned to pandemic onset. Source evidence and controls remain unverified. Decisions applied: D11; D12–D14. See Decision Log for specific before/after values.</x:v>
      </x:c>
      <x:c r="F248" s="33" t="str">
        <x:v>Applied in project review</x:v>
      </x:c>
      <x:c r="G248" s="43" t="d">
        <x:v>2026-10-18T00:00:00.000Z</x:v>
      </x:c>
    </x:row>
    <x:row r="249" ht="120" customHeight="1">
      <x:c r="A249" s="33" t="str">
        <x:v>R-020</x:v>
      </x:c>
      <x:c r="B249" s="33" t="str">
        <x:v>D13</x:v>
      </x:c>
      <x:c r="C249" s="33" t="str">
        <x:v>Likelihood horizon</x:v>
      </x:c>
      <x:c r="D249" s="33" t="str">
        <x:v>Initial three months</x:v>
      </x:c>
      <x:c r="E249" s="33" t="str">
        <x:v>2020-04-01 to 2020-06-30</x:v>
      </x:c>
      <x:c r="F249" s="33" t="str">
        <x:v>Applied in project review</x:v>
      </x:c>
      <x:c r="G249" s="43" t="d">
        <x:v>2026-10-18T00:00:00.000Z</x:v>
      </x:c>
    </x:row>
    <x:row r="250" ht="120" customHeight="1">
      <x:c r="A250" s="33" t="str">
        <x:v>R-020</x:v>
      </x:c>
      <x:c r="B250" s="33" t="str">
        <x:v>D12</x:v>
      </x:c>
      <x:c r="C250" s="33" t="str">
        <x:v>Existing controls</x:v>
      </x:c>
      <x:c r="D250" s="33" t="str">
        <x:v>Firewalls, email threat scanning and minimum-privilege access are reported.</x:v>
      </x:c>
      <x:c r="E250" s="33" t="str">
        <x:v>Case: third-party cloud backup, hosting and security advice. Assumption from Sam: firewalls, email scanning and minimum-privilege access operate as basic office safeguards.</x:v>
      </x:c>
      <x:c r="F250" s="33" t="str">
        <x:v>Applied in project review</x:v>
      </x:c>
      <x:c r="G250" s="43" t="d">
        <x:v>2026-10-18T00:00:00.000Z</x:v>
      </x:c>
    </x:row>
    <x:row r="251" ht="120" customHeight="1">
      <x:c r="A251" s="33" t="str">
        <x:v>R-020</x:v>
      </x:c>
      <x:c r="B251" s="33" t="str">
        <x:v>D12</x:v>
      </x:c>
      <x:c r="C251" s="33" t="str">
        <x:v>Control evidence status</x:v>
      </x:c>
      <x:c r="D251" s="33" t="str">
        <x:v>Reported in Sam’s draft; implementation and scope require verification.</x:v>
      </x:c>
      <x:c r="E251" s="33" t="str">
        <x:v>Mixed evidence: case arrangements plus explicit team assumptions; see Evidence and experience.</x:v>
      </x:c>
      <x:c r="F251" s="33" t="str">
        <x:v>Applied in project review</x:v>
      </x:c>
      <x:c r="G251" s="43" t="d">
        <x:v>2026-10-18T00:00:00.000Z</x:v>
      </x:c>
    </x:row>
    <x:row r="252" ht="120" customHeight="1">
      <x:c r="A252" s="33" t="str">
        <x:v>R-020</x:v>
      </x:c>
      <x:c r="B252" s="33" t="str">
        <x:v>D12</x:v>
      </x:c>
      <x:c r="C252" s="33" t="str">
        <x:v>Control effectiveness</x:v>
      </x:c>
      <x:c r="D252" s="33" t="str">
        <x:v>Effectiveness is not demonstrated. Firewall, email scanning and access restriction coverage are reported but not verified for remote work.</x:v>
      </x:c>
      <x:c r="E252" s="33" t="str">
        <x:v>Basic safeguards may reduce exposure. Their remote-work coverage, integrity protection, monitoring and restoration performance are unverified.</x:v>
      </x:c>
      <x:c r="F252" s="33" t="str">
        <x:v>Applied in project review</x:v>
      </x:c>
      <x:c r="G252" s="43" t="d">
        <x:v>2026-10-18T00:00:00.000Z</x:v>
      </x:c>
    </x:row>
    <x:row r="253" ht="120" customHeight="1">
      <x:c r="A253" s="33" t="str">
        <x:v>R-020</x:v>
      </x:c>
      <x:c r="B253" s="33" t="str">
        <x:v>D12; D13</x:v>
      </x:c>
      <x:c r="C253" s="33" t="str">
        <x:v>Evidence and experience</x:v>
      </x:c>
      <x:c r="D253" s="33" t="str">
        <x:v>See Source Records for R-020 and Source Text for the original references. No verified internal incident history or empirical probability estimate is supplied. Historical examples require a scenario-date and relevance check before use.</x:v>
      </x:c>
      <x:c r="E253"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253" s="33" t="str">
        <x:v>Applied in project review</x:v>
      </x:c>
      <x:c r="G253" s="43" t="d">
        <x:v>2026-10-18T00:00:00.000Z</x:v>
      </x:c>
    </x:row>
    <x:row r="254" ht="120" customHeight="1">
      <x:c r="A254" s="33" t="str">
        <x:v>R-020</x:v>
      </x:c>
      <x:c r="B254" s="33" t="str">
        <x:v>D12 draft</x:v>
      </x:c>
      <x:c r="C254" s="33" t="str">
        <x:v>Tolerability</x:v>
      </x:c>
      <x:c r="D254" s="33" t="str">
        <x:v>Awaiting assessment</x:v>
      </x:c>
      <x:c r="E254" s="33" t="str">
        <x:v>Not tolerable</x:v>
      </x:c>
      <x:c r="F254" s="33" t="str">
        <x:v>Applied in project review</x:v>
      </x:c>
      <x:c r="G254" s="43" t="d">
        <x:v>2026-10-18T00:00:00.000Z</x:v>
      </x:c>
    </x:row>
    <x:row r="255" ht="120" customHeight="1">
      <x:c r="A255" s="33" t="str">
        <x:v>R-020</x:v>
      </x:c>
      <x:c r="B255" s="33" t="str">
        <x:v>D12 draft</x:v>
      </x:c>
      <x:c r="C255" s="33" t="str">
        <x:v>Tolerability reasoning</x:v>
      </x:c>
      <x:c r="D255" s="33" t="str">
        <x:v>The supplied information does not establish the remaining exposure after controls. Firewall, email scanning and access restriction coverage are reported but not verified for remote work. A tolerability decision must consider the agreed appetite and the need to sustain technology and information security.</x:v>
      </x:c>
      <x:c r="E255" s="33" t="str">
        <x:v>Not tolerable on the assumed inadequacy of remote safeguards against a major system compromise. Basic office controls do not demonstrate sufficient protection for the changed operating model.</x:v>
      </x:c>
      <x:c r="F255" s="33" t="str">
        <x:v>Applied in project review</x:v>
      </x:c>
      <x:c r="G255" s="43" t="d">
        <x:v>2026-10-18T00:00:00.000Z</x:v>
      </x:c>
    </x:row>
    <x:row r="256" ht="120" customHeight="1">
      <x:c r="A256" s="33" t="str">
        <x:v>R-020</x:v>
      </x:c>
      <x:c r="B256" s="33" t="str">
        <x:v>D14</x:v>
      </x:c>
      <x:c r="C256" s="33" t="str">
        <x:v>Risk owner</x:v>
      </x:c>
      <x:c r="D256" s="33" t="str">
        <x:v>Unassigned</x:v>
      </x:c>
      <x:c r="E256" s="33" t="str">
        <x:v>Network Manager</x:v>
      </x:c>
      <x:c r="F256" s="33" t="str">
        <x:v>Applied in project review</x:v>
      </x:c>
      <x:c r="G256" s="43" t="d">
        <x:v>2026-10-18T00:00:00.000Z</x:v>
      </x:c>
    </x:row>
    <x:row r="257" ht="120" customHeight="1">
      <x:c r="A257" s="33" t="str">
        <x:v>R-020</x:v>
      </x:c>
      <x:c r="B257" s="33" t="str">
        <x:v>D11 / D12</x:v>
      </x:c>
      <x:c r="C257" s="33" t="str">
        <x:v>Assessment status</x:v>
      </x:c>
      <x:c r="D257" s="33" t="str">
        <x:v>Draft for review</x:v>
      </x:c>
      <x:c r="E257" s="33" t="str">
        <x:v>Revised draft for review</x:v>
      </x:c>
      <x:c r="F257" s="33" t="str">
        <x:v>Applied in project review</x:v>
      </x:c>
      <x:c r="G257" s="43" t="d">
        <x:v>2026-10-18T00:00:00.000Z</x:v>
      </x:c>
    </x:row>
    <x:row r="258" ht="120" customHeight="1">
      <x:c r="A258" s="33" t="str">
        <x:v>R-020</x:v>
      </x:c>
      <x:c r="B258" s="33" t="str">
        <x:v>D13</x:v>
      </x:c>
      <x:c r="C258" s="33" t="str">
        <x:v>Longer-term exposure</x:v>
      </x:c>
      <x:c r="D258" s="33" t="str">
        <x:v>Consequences may extend beyond three months; reassess during weekly reviews.</x:v>
      </x:c>
      <x:c r="E258" s="33" t="str">
        <x:v>Consequences may extend beyond three months; reassess during weekly reviews. Initial likelihood horizon ends 2020-06-30; later information belongs to dated reviews.</x:v>
      </x:c>
      <x:c r="F258" s="33" t="str">
        <x:v>Applied in project review</x:v>
      </x:c>
      <x:c r="G258" s="43" t="d">
        <x:v>2026-10-18T00:00:00.000Z</x:v>
      </x:c>
    </x:row>
    <x:row r="259" ht="120" customHeight="1">
      <x:c r="A259" s="33" t="str">
        <x:v>R-020</x:v>
      </x:c>
      <x:c r="B259" s="33" t="str">
        <x:v>Review batch</x:v>
      </x:c>
      <x:c r="C259" s="33" t="str">
        <x:v>Revision notes</x:v>
      </x:c>
      <x:c r="D259" s="33" t="str">
        <x:v>Cause, event and impact separated; wording aligned to pandemic onset. Source evidence and controls remain unverified.</x:v>
      </x:c>
      <x:c r="E259" s="33" t="str">
        <x:v>Cause, event and impact separated; wording aligned to pandemic onset. Source evidence and controls remain unverified. Decisions applied: D03; D10; D12–D14. See Decision Log for specific before/after values.</x:v>
      </x:c>
      <x:c r="F259" s="33" t="str">
        <x:v>Applied in project review</x:v>
      </x:c>
      <x:c r="G259" s="43" t="d">
        <x:v>2026-10-18T00:00:00.000Z</x:v>
      </x:c>
    </x:row>
    <x:row r="260" ht="120" customHeight="1">
      <x:c r="A260" s="33" t="str">
        <x:v>R-021</x:v>
      </x:c>
      <x:c r="B260" s="33" t="str">
        <x:v>D13</x:v>
      </x:c>
      <x:c r="C260" s="33" t="str">
        <x:v>Likelihood horizon</x:v>
      </x:c>
      <x:c r="D260" s="33" t="str">
        <x:v>Initial three months</x:v>
      </x:c>
      <x:c r="E260" s="33" t="str">
        <x:v>2020-04-01 to 2020-06-30</x:v>
      </x:c>
      <x:c r="F260" s="33" t="str">
        <x:v>Applied in project review</x:v>
      </x:c>
      <x:c r="G260" s="43" t="d">
        <x:v>2026-10-18T00:00:00.000Z</x:v>
      </x:c>
    </x:row>
    <x:row r="261" ht="120" customHeight="1">
      <x:c r="A261" s="33" t="str">
        <x:v>R-021</x:v>
      </x:c>
      <x:c r="B261" s="33" t="str">
        <x:v>D12</x:v>
      </x:c>
      <x:c r="C261" s="33" t="str">
        <x:v>Existing controls</x:v>
      </x:c>
      <x:c r="D261" s="33" t="str">
        <x:v>Firewalls, email threat scanning and minimum-privilege access are reported.</x:v>
      </x:c>
      <x:c r="E261" s="33" t="str">
        <x:v>Case: third-party cloud backup, hosting and security advice. Assumption from Sam: firewalls, email scanning and minimum-privilege access operate as basic office safeguards.</x:v>
      </x:c>
      <x:c r="F261" s="33" t="str">
        <x:v>Applied in project review</x:v>
      </x:c>
      <x:c r="G261" s="43" t="d">
        <x:v>2026-10-18T00:00:00.000Z</x:v>
      </x:c>
    </x:row>
    <x:row r="262" ht="120" customHeight="1">
      <x:c r="A262" s="33" t="str">
        <x:v>R-021</x:v>
      </x:c>
      <x:c r="B262" s="33" t="str">
        <x:v>D12</x:v>
      </x:c>
      <x:c r="C262" s="33" t="str">
        <x:v>Control evidence status</x:v>
      </x:c>
      <x:c r="D262" s="33" t="str">
        <x:v>Reported in Sam’s draft; implementation and scope require verification.</x:v>
      </x:c>
      <x:c r="E262" s="33" t="str">
        <x:v>Mixed evidence: case arrangements plus explicit team assumptions; see Evidence and experience.</x:v>
      </x:c>
      <x:c r="F262" s="33" t="str">
        <x:v>Applied in project review</x:v>
      </x:c>
      <x:c r="G262" s="43" t="d">
        <x:v>2026-10-18T00:00:00.000Z</x:v>
      </x:c>
    </x:row>
    <x:row r="263" ht="120" customHeight="1">
      <x:c r="A263" s="33" t="str">
        <x:v>R-021</x:v>
      </x:c>
      <x:c r="B263" s="33" t="str">
        <x:v>D12</x:v>
      </x:c>
      <x:c r="C263" s="33" t="str">
        <x:v>Control effectiveness</x:v>
      </x:c>
      <x:c r="D263" s="33" t="str">
        <x:v>Effectiveness is not demonstrated. Load tests, utilization records and capacity thresholds are unavailable.</x:v>
      </x:c>
      <x:c r="E263" s="33" t="str">
        <x:v>Basic safeguards may reduce exposure. Their remote-work coverage, integrity protection, monitoring and restoration performance are unverified.</x:v>
      </x:c>
      <x:c r="F263" s="33" t="str">
        <x:v>Applied in project review</x:v>
      </x:c>
      <x:c r="G263" s="43" t="d">
        <x:v>2026-10-18T00:00:00.000Z</x:v>
      </x:c>
    </x:row>
    <x:row r="264" ht="120" customHeight="1">
      <x:c r="A264" s="33" t="str">
        <x:v>R-021</x:v>
      </x:c>
      <x:c r="B264" s="33" t="str">
        <x:v>D12; D13</x:v>
      </x:c>
      <x:c r="C264" s="33" t="str">
        <x:v>Evidence and experience</x:v>
      </x:c>
      <x:c r="D264" s="33" t="str">
        <x:v>See Source Records for R-021 and Source Text for the original references. No verified internal incident history or empirical probability estimate is supplied. Historical examples require a scenario-date and relevance check before use.</x:v>
      </x:c>
      <x:c r="E264"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264" s="33" t="str">
        <x:v>Applied in project review</x:v>
      </x:c>
      <x:c r="G264" s="43" t="d">
        <x:v>2026-10-18T00:00:00.000Z</x:v>
      </x:c>
    </x:row>
    <x:row r="265" ht="120" customHeight="1">
      <x:c r="A265" s="33" t="str">
        <x:v>R-021</x:v>
      </x:c>
      <x:c r="B265" s="33" t="str">
        <x:v>D12 draft</x:v>
      </x:c>
      <x:c r="C265" s="33" t="str">
        <x:v>Tolerability</x:v>
      </x:c>
      <x:c r="D265" s="33" t="str">
        <x:v>Awaiting assessment</x:v>
      </x:c>
      <x:c r="E265" s="33" t="str">
        <x:v>Not tolerable</x:v>
      </x:c>
      <x:c r="F265" s="33" t="str">
        <x:v>Applied in project review</x:v>
      </x:c>
      <x:c r="G265" s="43" t="d">
        <x:v>2026-10-18T00:00:00.000Z</x:v>
      </x:c>
    </x:row>
    <x:row r="266" ht="120" customHeight="1">
      <x:c r="A266" s="33" t="str">
        <x:v>R-021</x:v>
      </x:c>
      <x:c r="B266" s="33" t="str">
        <x:v>D12 draft</x:v>
      </x:c>
      <x:c r="C266" s="33" t="str">
        <x:v>Tolerability reasoning</x:v>
      </x:c>
      <x:c r="D266" s="33" t="str">
        <x:v>The supplied information does not establish the remaining exposure after controls. Load tests, utilization records and capacity thresholds are unavailable. A tolerability decision must consider the agreed appetite and the need to sustain network capacity.</x:v>
      </x:c>
      <x:c r="E266" s="33" t="str">
        <x:v>Not tolerable on the assumption that congestion regularly threatens essential workflows and capacity safeguards are inadequate. Minor temporary slowdowns within agreed limits could be tolerable, but that is not the assessed material scenario.</x:v>
      </x:c>
      <x:c r="F266" s="33" t="str">
        <x:v>Applied in project review</x:v>
      </x:c>
      <x:c r="G266" s="43" t="d">
        <x:v>2026-10-18T00:00:00.000Z</x:v>
      </x:c>
    </x:row>
    <x:row r="267" ht="120" customHeight="1">
      <x:c r="A267" s="33" t="str">
        <x:v>R-021</x:v>
      </x:c>
      <x:c r="B267" s="33" t="str">
        <x:v>D14</x:v>
      </x:c>
      <x:c r="C267" s="33" t="str">
        <x:v>Risk owner</x:v>
      </x:c>
      <x:c r="D267" s="33" t="str">
        <x:v>Unassigned</x:v>
      </x:c>
      <x:c r="E267" s="33" t="str">
        <x:v>Network Manager</x:v>
      </x:c>
      <x:c r="F267" s="33" t="str">
        <x:v>Applied in project review</x:v>
      </x:c>
      <x:c r="G267" s="43" t="d">
        <x:v>2026-10-18T00:00:00.000Z</x:v>
      </x:c>
    </x:row>
    <x:row r="268" ht="120" customHeight="1">
      <x:c r="A268" s="33" t="str">
        <x:v>R-021</x:v>
      </x:c>
      <x:c r="B268" s="33" t="str">
        <x:v>D11 / D12</x:v>
      </x:c>
      <x:c r="C268" s="33" t="str">
        <x:v>Assessment status</x:v>
      </x:c>
      <x:c r="D268" s="33" t="str">
        <x:v>Draft for review</x:v>
      </x:c>
      <x:c r="E268" s="33" t="str">
        <x:v>Revised draft for review</x:v>
      </x:c>
      <x:c r="F268" s="33" t="str">
        <x:v>Applied in project review</x:v>
      </x:c>
      <x:c r="G268" s="43" t="d">
        <x:v>2026-10-18T00:00:00.000Z</x:v>
      </x:c>
    </x:row>
    <x:row r="269" ht="120" customHeight="1">
      <x:c r="A269" s="33" t="str">
        <x:v>R-021</x:v>
      </x:c>
      <x:c r="B269" s="33" t="str">
        <x:v>D13</x:v>
      </x:c>
      <x:c r="C269" s="33" t="str">
        <x:v>Longer-term exposure</x:v>
      </x:c>
      <x:c r="D269" s="33" t="str">
        <x:v>Consequences may extend beyond three months; reassess during weekly reviews.</x:v>
      </x:c>
      <x:c r="E269" s="33" t="str">
        <x:v>Consequences may extend beyond three months; reassess during weekly reviews. Initial likelihood horizon ends 2020-06-30; later information belongs to dated reviews.</x:v>
      </x:c>
      <x:c r="F269" s="33" t="str">
        <x:v>Applied in project review</x:v>
      </x:c>
      <x:c r="G269" s="43" t="d">
        <x:v>2026-10-18T00:00:00.000Z</x:v>
      </x:c>
    </x:row>
    <x:row r="270" ht="120" customHeight="1">
      <x:c r="A270" s="33" t="str">
        <x:v>R-021</x:v>
      </x:c>
      <x:c r="B270" s="33" t="str">
        <x:v>Review batch</x:v>
      </x:c>
      <x:c r="C270" s="33" t="str">
        <x:v>Revision notes</x:v>
      </x:c>
      <x:c r="D270" s="33" t="str">
        <x:v>Cause, event and impact separated; wording aligned to pandemic onset. Source evidence and controls remain unverified.</x:v>
      </x:c>
      <x:c r="E270" s="33" t="str">
        <x:v>Cause, event and impact separated; wording aligned to pandemic onset. Source evidence and controls remain unverified. Decisions applied: D04; D12–D14. See Decision Log for specific before/after values.</x:v>
      </x:c>
      <x:c r="F270" s="33" t="str">
        <x:v>Applied in project review</x:v>
      </x:c>
      <x:c r="G270" s="43" t="d">
        <x:v>2026-10-18T00:00:00.000Z</x:v>
      </x:c>
    </x:row>
    <x:row r="271" ht="120" customHeight="1">
      <x:c r="A271" s="33" t="str">
        <x:v>R-022</x:v>
      </x:c>
      <x:c r="B271" s="33" t="str">
        <x:v>D13</x:v>
      </x:c>
      <x:c r="C271" s="33" t="str">
        <x:v>Likelihood horizon</x:v>
      </x:c>
      <x:c r="D271" s="33" t="str">
        <x:v>Initial three months</x:v>
      </x:c>
      <x:c r="E271" s="33" t="str">
        <x:v>2020-04-01 to 2020-06-30</x:v>
      </x:c>
      <x:c r="F271" s="33" t="str">
        <x:v>Applied in project review</x:v>
      </x:c>
      <x:c r="G271" s="43" t="d">
        <x:v>2026-10-18T00:00:00.000Z</x:v>
      </x:c>
    </x:row>
    <x:row r="272" ht="120" customHeight="1">
      <x:c r="A272" s="33" t="str">
        <x:v>R-022</x:v>
      </x:c>
      <x:c r="B272" s="33" t="str">
        <x:v>D12</x:v>
      </x:c>
      <x:c r="C272" s="33" t="str">
        <x:v>Existing controls</x:v>
      </x:c>
      <x:c r="D272" s="33" t="str">
        <x:v>Firewalls, email threat scanning and minimum-privilege access are reported.</x:v>
      </x:c>
      <x:c r="E272" s="33" t="str">
        <x:v>Case: third-party cloud backup, hosting and security advice. Assumption from Sam: firewalls, email scanning and minimum-privilege access operate as basic office safeguards.</x:v>
      </x:c>
      <x:c r="F272" s="33" t="str">
        <x:v>Applied in project review</x:v>
      </x:c>
      <x:c r="G272" s="43" t="d">
        <x:v>2026-10-18T00:00:00.000Z</x:v>
      </x:c>
    </x:row>
    <x:row r="273" ht="120" customHeight="1">
      <x:c r="A273" s="33" t="str">
        <x:v>R-022</x:v>
      </x:c>
      <x:c r="B273" s="33" t="str">
        <x:v>D12</x:v>
      </x:c>
      <x:c r="C273" s="33" t="str">
        <x:v>Control evidence status</x:v>
      </x:c>
      <x:c r="D273" s="33" t="str">
        <x:v>Reported in Sam’s draft; implementation and scope require verification.</x:v>
      </x:c>
      <x:c r="E273" s="33" t="str">
        <x:v>Mixed evidence: case arrangements plus explicit team assumptions; see Evidence and experience.</x:v>
      </x:c>
      <x:c r="F273" s="33" t="str">
        <x:v>Applied in project review</x:v>
      </x:c>
      <x:c r="G273" s="43" t="d">
        <x:v>2026-10-18T00:00:00.000Z</x:v>
      </x:c>
    </x:row>
    <x:row r="274" ht="120" customHeight="1">
      <x:c r="A274" s="33" t="str">
        <x:v>R-022</x:v>
      </x:c>
      <x:c r="B274" s="33" t="str">
        <x:v>D12</x:v>
      </x:c>
      <x:c r="C274" s="33" t="str">
        <x:v>Control effectiveness</x:v>
      </x:c>
      <x:c r="D274" s="33" t="str">
        <x:v>Effectiveness is not demonstrated. Failover, recovery tests, outage tolerance and continuity arrangements need confirmation.</x:v>
      </x:c>
      <x:c r="E274" s="33" t="str">
        <x:v>Basic safeguards may reduce exposure. Their remote-work coverage, integrity protection, monitoring and restoration performance are unverified.</x:v>
      </x:c>
      <x:c r="F274" s="33" t="str">
        <x:v>Applied in project review</x:v>
      </x:c>
      <x:c r="G274" s="43" t="d">
        <x:v>2026-10-18T00:00:00.000Z</x:v>
      </x:c>
    </x:row>
    <x:row r="275" ht="120" customHeight="1">
      <x:c r="A275" s="33" t="str">
        <x:v>R-022</x:v>
      </x:c>
      <x:c r="B275" s="33" t="str">
        <x:v>D12; D13</x:v>
      </x:c>
      <x:c r="C275" s="33" t="str">
        <x:v>Evidence and experience</x:v>
      </x:c>
      <x:c r="D275" s="33" t="str">
        <x:v>See Source Records for R-022 and Source Text for the original references. No verified internal incident history or empirical probability estimate is supplied. Historical examples require a scenario-date and relevance check before use.</x:v>
      </x:c>
      <x:c r="E275"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275" s="33" t="str">
        <x:v>Applied in project review</x:v>
      </x:c>
      <x:c r="G275" s="43" t="d">
        <x:v>2026-10-18T00:00:00.000Z</x:v>
      </x:c>
    </x:row>
    <x:row r="276" ht="120" customHeight="1">
      <x:c r="A276" s="33" t="str">
        <x:v>R-022</x:v>
      </x:c>
      <x:c r="B276" s="33" t="str">
        <x:v>D12 draft</x:v>
      </x:c>
      <x:c r="C276" s="33" t="str">
        <x:v>Tolerability</x:v>
      </x:c>
      <x:c r="D276" s="33" t="str">
        <x:v>Awaiting assessment</x:v>
      </x:c>
      <x:c r="E276" s="33" t="str">
        <x:v>Not tolerable</x:v>
      </x:c>
      <x:c r="F276" s="33" t="str">
        <x:v>Applied in project review</x:v>
      </x:c>
      <x:c r="G276" s="43" t="d">
        <x:v>2026-10-18T00:00:00.000Z</x:v>
      </x:c>
    </x:row>
    <x:row r="277" ht="120" customHeight="1">
      <x:c r="A277" s="33" t="str">
        <x:v>R-022</x:v>
      </x:c>
      <x:c r="B277" s="33" t="str">
        <x:v>D12 draft</x:v>
      </x:c>
      <x:c r="C277" s="33" t="str">
        <x:v>Tolerability reasoning</x:v>
      </x:c>
      <x:c r="D277" s="33" t="str">
        <x:v>The supplied information does not establish the remaining exposure after controls. Failover, recovery tests, outage tolerance and continuity arrangements need confirmation. A tolerability decision must consider the agreed appetite and the need to sustain core systems and connectivity.</x:v>
      </x:c>
      <x:c r="E277" s="33" t="str">
        <x:v>Not tolerable on the assumed lack of a workable alternative for a material network outage. Essential operations depend on connectivity and sustained interruption is outside the intended service-continuity position.</x:v>
      </x:c>
      <x:c r="F277" s="33" t="str">
        <x:v>Applied in project review</x:v>
      </x:c>
      <x:c r="G277" s="43" t="d">
        <x:v>2026-10-18T00:00:00.000Z</x:v>
      </x:c>
    </x:row>
    <x:row r="278" ht="120" customHeight="1">
      <x:c r="A278" s="33" t="str">
        <x:v>R-022</x:v>
      </x:c>
      <x:c r="B278" s="33" t="str">
        <x:v>D14</x:v>
      </x:c>
      <x:c r="C278" s="33" t="str">
        <x:v>Risk owner</x:v>
      </x:c>
      <x:c r="D278" s="33" t="str">
        <x:v>Unassigned</x:v>
      </x:c>
      <x:c r="E278" s="33" t="str">
        <x:v>Network Manager</x:v>
      </x:c>
      <x:c r="F278" s="33" t="str">
        <x:v>Applied in project review</x:v>
      </x:c>
      <x:c r="G278" s="43" t="d">
        <x:v>2026-10-18T00:00:00.000Z</x:v>
      </x:c>
    </x:row>
    <x:row r="279" ht="120" customHeight="1">
      <x:c r="A279" s="33" t="str">
        <x:v>R-022</x:v>
      </x:c>
      <x:c r="B279" s="33" t="str">
        <x:v>D11 / D12</x:v>
      </x:c>
      <x:c r="C279" s="33" t="str">
        <x:v>Assessment status</x:v>
      </x:c>
      <x:c r="D279" s="33" t="str">
        <x:v>Draft for review</x:v>
      </x:c>
      <x:c r="E279" s="33" t="str">
        <x:v>Revised draft for review</x:v>
      </x:c>
      <x:c r="F279" s="33" t="str">
        <x:v>Applied in project review</x:v>
      </x:c>
      <x:c r="G279" s="43" t="d">
        <x:v>2026-10-18T00:00:00.000Z</x:v>
      </x:c>
    </x:row>
    <x:row r="280" ht="120" customHeight="1">
      <x:c r="A280" s="33" t="str">
        <x:v>R-022</x:v>
      </x:c>
      <x:c r="B280" s="33" t="str">
        <x:v>D13</x:v>
      </x:c>
      <x:c r="C280" s="33" t="str">
        <x:v>Longer-term exposure</x:v>
      </x:c>
      <x:c r="D280" s="33" t="str">
        <x:v>Consequences may extend beyond three months; reassess during weekly reviews.</x:v>
      </x:c>
      <x:c r="E280" s="33" t="str">
        <x:v>Consequences may extend beyond three months; reassess during weekly reviews. Initial likelihood horizon ends 2020-06-30; later information belongs to dated reviews.</x:v>
      </x:c>
      <x:c r="F280" s="33" t="str">
        <x:v>Applied in project review</x:v>
      </x:c>
      <x:c r="G280" s="43" t="d">
        <x:v>2026-10-18T00:00:00.000Z</x:v>
      </x:c>
    </x:row>
    <x:row r="281" ht="120" customHeight="1">
      <x:c r="A281" s="33" t="str">
        <x:v>R-022</x:v>
      </x:c>
      <x:c r="B281" s="33" t="str">
        <x:v>Review batch</x:v>
      </x:c>
      <x:c r="C281" s="33" t="str">
        <x:v>Revision notes</x:v>
      </x:c>
      <x:c r="D281" s="33" t="str">
        <x:v>Cause, event and impact separated; wording aligned to pandemic onset. Source evidence and controls remain unverified.</x:v>
      </x:c>
      <x:c r="E281" s="33" t="str">
        <x:v>Cause, event and impact separated; wording aligned to pandemic onset. Source evidence and controls remain unverified. Decisions applied: D04; D10; D12–D14. See Decision Log for specific before/after values.</x:v>
      </x:c>
      <x:c r="F281" s="33" t="str">
        <x:v>Applied in project review</x:v>
      </x:c>
      <x:c r="G281" s="43" t="d">
        <x:v>2026-10-18T00:00:00.000Z</x:v>
      </x:c>
    </x:row>
    <x:row r="282" ht="120" customHeight="1">
      <x:c r="A282" s="33" t="str">
        <x:v>R-023</x:v>
      </x:c>
      <x:c r="B282" s="33" t="str">
        <x:v>D13</x:v>
      </x:c>
      <x:c r="C282" s="33" t="str">
        <x:v>Likelihood horizon</x:v>
      </x:c>
      <x:c r="D282" s="33" t="str">
        <x:v>Initial three months</x:v>
      </x:c>
      <x:c r="E282" s="33" t="str">
        <x:v>2020-04-01 to 2020-06-30</x:v>
      </x:c>
      <x:c r="F282" s="33" t="str">
        <x:v>Applied in project review</x:v>
      </x:c>
      <x:c r="G282" s="43" t="d">
        <x:v>2026-10-18T00:00:00.000Z</x:v>
      </x:c>
    </x:row>
    <x:row r="283" ht="120" customHeight="1">
      <x:c r="A283" s="33" t="str">
        <x:v>R-023</x:v>
      </x:c>
      <x:c r="B283" s="33" t="str">
        <x:v>D12</x:v>
      </x:c>
      <x:c r="C283" s="33" t="str">
        <x:v>Existing controls</x:v>
      </x:c>
      <x:c r="D283" s="33" t="str">
        <x:v>Firewalls, email threat scanning and minimum-privilege access are reported.</x:v>
      </x:c>
      <x:c r="E283" s="33" t="str">
        <x:v>No staff-continuity or wellbeing control is specified in the case. Assessment assumption: Sam’s reported preparation gaps apply at the assessment date.</x:v>
      </x:c>
      <x:c r="F283" s="33" t="str">
        <x:v>Applied in project review</x:v>
      </x:c>
      <x:c r="G283" s="43" t="d">
        <x:v>2026-10-18T00:00:00.000Z</x:v>
      </x:c>
    </x:row>
    <x:row r="284" ht="120" customHeight="1">
      <x:c r="A284" s="33" t="str">
        <x:v>R-023</x:v>
      </x:c>
      <x:c r="B284" s="33" t="str">
        <x:v>D12</x:v>
      </x:c>
      <x:c r="C284" s="33" t="str">
        <x:v>Control evidence status</x:v>
      </x:c>
      <x:c r="D284" s="33" t="str">
        <x:v>Reported in Sam’s draft; implementation and scope require verification.</x:v>
      </x:c>
      <x:c r="E284" s="33" t="str">
        <x:v>Mixed evidence: case arrangements plus explicit team assumptions; see Evidence and experience.</x:v>
      </x:c>
      <x:c r="F284" s="33" t="str">
        <x:v>Applied in project review</x:v>
      </x:c>
      <x:c r="G284" s="43" t="d">
        <x:v>2026-10-18T00:00:00.000Z</x:v>
      </x:c>
    </x:row>
    <x:row r="285" ht="120" customHeight="1">
      <x:c r="A285" s="33" t="str">
        <x:v>R-023</x:v>
      </x:c>
      <x:c r="B285" s="33" t="str">
        <x:v>D12</x:v>
      </x:c>
      <x:c r="C285" s="33" t="str">
        <x:v>Control effectiveness</x:v>
      </x:c>
      <x:c r="D285" s="33" t="str">
        <x:v>Effectiveness is not demonstrated. Staff schedules, vendor monitoring and alert escalation coverage are unknown.</x:v>
      </x:c>
      <x:c r="E285" s="33" t="str">
        <x:v>Existing staffing is capacity, not a tested continuity control. Backup coverage and support effectiveness remain unverified.</x:v>
      </x:c>
      <x:c r="F285" s="33" t="str">
        <x:v>Applied in project review</x:v>
      </x:c>
      <x:c r="G285" s="43" t="d">
        <x:v>2026-10-18T00:00:00.000Z</x:v>
      </x:c>
    </x:row>
    <x:row r="286" ht="120" customHeight="1">
      <x:c r="A286" s="33" t="str">
        <x:v>R-023</x:v>
      </x:c>
      <x:c r="B286" s="33" t="str">
        <x:v>D12; D13</x:v>
      </x:c>
      <x:c r="C286" s="33" t="str">
        <x:v>Evidence and experience</x:v>
      </x:c>
      <x:c r="D286" s="33" t="str">
        <x:v>See Source Records for R-023 and Source Text for the original references. No verified internal incident history or empirical probability estimate is supplied. Historical examples require a scenario-date and relevance check before use.</x:v>
      </x:c>
      <x:c r="E286" s="33"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F286" s="33" t="str">
        <x:v>Applied in project review</x:v>
      </x:c>
      <x:c r="G286" s="43" t="d">
        <x:v>2026-10-18T00:00:00.000Z</x:v>
      </x:c>
    </x:row>
    <x:row r="287" ht="120" customHeight="1">
      <x:c r="A287" s="33" t="str">
        <x:v>R-023</x:v>
      </x:c>
      <x:c r="B287" s="33" t="str">
        <x:v>D12 draft</x:v>
      </x:c>
      <x:c r="C287" s="33" t="str">
        <x:v>Tolerability</x:v>
      </x:c>
      <x:c r="D287" s="33" t="str">
        <x:v>Awaiting assessment</x:v>
      </x:c>
      <x:c r="E287" s="33" t="str">
        <x:v>Not tolerable</x:v>
      </x:c>
      <x:c r="F287" s="33" t="str">
        <x:v>Applied in project review</x:v>
      </x:c>
      <x:c r="G287" s="43" t="d">
        <x:v>2026-10-18T00:00:00.000Z</x:v>
      </x:c>
    </x:row>
    <x:row r="288" ht="120" customHeight="1">
      <x:c r="A288" s="33" t="str">
        <x:v>R-023</x:v>
      </x:c>
      <x:c r="B288" s="33" t="str">
        <x:v>D12 draft</x:v>
      </x:c>
      <x:c r="C288" s="33" t="str">
        <x:v>Tolerability reasoning</x:v>
      </x:c>
      <x:c r="D288" s="33" t="str">
        <x:v>The supplied information does not establish the remaining exposure after controls. Staff schedules, vendor monitoring and alert escalation coverage are unknown. A tolerability decision must consider the agreed appetite and the need to sustain it staffing and detection.</x:v>
      </x:c>
      <x:c r="E288" s="33" t="str">
        <x:v>Not tolerable if a material incident can remain unattended because monitoring coverage is inadequate. Staffing numbers alone do not establish this gap; the decision is conditional on the stated coverage assumption.</x:v>
      </x:c>
      <x:c r="F288" s="33" t="str">
        <x:v>Applied in project review</x:v>
      </x:c>
      <x:c r="G288" s="43" t="d">
        <x:v>2026-10-18T00:00:00.000Z</x:v>
      </x:c>
    </x:row>
    <x:row r="289" ht="120" customHeight="1">
      <x:c r="A289" s="33" t="str">
        <x:v>R-023</x:v>
      </x:c>
      <x:c r="B289" s="33" t="str">
        <x:v>D14</x:v>
      </x:c>
      <x:c r="C289" s="33" t="str">
        <x:v>Risk owner</x:v>
      </x:c>
      <x:c r="D289" s="33" t="str">
        <x:v>Unassigned</x:v>
      </x:c>
      <x:c r="E289" s="33" t="str">
        <x:v>Network Manager</x:v>
      </x:c>
      <x:c r="F289" s="33" t="str">
        <x:v>Applied in project review</x:v>
      </x:c>
      <x:c r="G289" s="43" t="d">
        <x:v>2026-10-18T00:00:00.000Z</x:v>
      </x:c>
    </x:row>
    <x:row r="290" ht="120" customHeight="1">
      <x:c r="A290" s="33" t="str">
        <x:v>R-023</x:v>
      </x:c>
      <x:c r="B290" s="33" t="str">
        <x:v>D11 / D12</x:v>
      </x:c>
      <x:c r="C290" s="33" t="str">
        <x:v>Assessment status</x:v>
      </x:c>
      <x:c r="D290" s="33" t="str">
        <x:v>Draft for review</x:v>
      </x:c>
      <x:c r="E290" s="33" t="str">
        <x:v>Revised draft for review</x:v>
      </x:c>
      <x:c r="F290" s="33" t="str">
        <x:v>Applied in project review</x:v>
      </x:c>
      <x:c r="G290" s="43" t="d">
        <x:v>2026-10-18T00:00:00.000Z</x:v>
      </x:c>
    </x:row>
    <x:row r="291" ht="120" customHeight="1">
      <x:c r="A291" s="33" t="str">
        <x:v>R-023</x:v>
      </x:c>
      <x:c r="B291" s="33" t="str">
        <x:v>D13</x:v>
      </x:c>
      <x:c r="C291" s="33" t="str">
        <x:v>Longer-term exposure</x:v>
      </x:c>
      <x:c r="D291" s="33" t="str">
        <x:v>Consequences may extend beyond three months; reassess during weekly reviews.</x:v>
      </x:c>
      <x:c r="E291" s="33" t="str">
        <x:v>Consequences may extend beyond three months; reassess during weekly reviews. Initial likelihood horizon ends 2020-06-30; later information belongs to dated reviews.</x:v>
      </x:c>
      <x:c r="F291" s="33" t="str">
        <x:v>Applied in project review</x:v>
      </x:c>
      <x:c r="G291" s="43" t="d">
        <x:v>2026-10-18T00:00:00.000Z</x:v>
      </x:c>
    </x:row>
    <x:row r="292" ht="120" customHeight="1">
      <x:c r="A292" s="33" t="str">
        <x:v>R-023</x:v>
      </x:c>
      <x:c r="B292" s="33" t="str">
        <x:v>Review batch</x:v>
      </x:c>
      <x:c r="C292" s="33" t="str">
        <x:v>Revision notes</x:v>
      </x:c>
      <x:c r="D292" s="33" t="str">
        <x:v>Cause, event and impact separated; wording aligned to pandemic onset. Source evidence and controls remain unverified. Proposed scores 4/3 to 3/4; see assessment reasoning.</x:v>
      </x:c>
      <x:c r="E292" s="33" t="str">
        <x:v>Cause, event and impact separated; wording aligned to pandemic onset. Source evidence and controls remain unverified. Proposed scores 4/3 to 3/4; see assessment reasoning. Decisions applied: D11; D12–D14. See Decision Log for specific before/after values.</x:v>
      </x:c>
      <x:c r="F292" s="33" t="str">
        <x:v>Applied in project review</x:v>
      </x:c>
      <x:c r="G292" s="43" t="d">
        <x:v>2026-10-18T00:00:00.000Z</x:v>
      </x:c>
    </x:row>
    <x:row r="293" ht="120" customHeight="1">
      <x:c r="A293" s="33" t="str">
        <x:v>R-024</x:v>
      </x:c>
      <x:c r="B293" s="33" t="str">
        <x:v>D13</x:v>
      </x:c>
      <x:c r="C293" s="33" t="str">
        <x:v>Likelihood horizon</x:v>
      </x:c>
      <x:c r="D293" s="33" t="str">
        <x:v>Initial three months</x:v>
      </x:c>
      <x:c r="E293" s="33" t="str">
        <x:v>2020-04-01 to 2020-06-30</x:v>
      </x:c>
      <x:c r="F293" s="33" t="str">
        <x:v>Applied in project review</x:v>
      </x:c>
      <x:c r="G293" s="43" t="d">
        <x:v>2026-10-18T00:00:00.000Z</x:v>
      </x:c>
    </x:row>
    <x:row r="294" ht="120" customHeight="1">
      <x:c r="A294" s="33" t="str">
        <x:v>R-024</x:v>
      </x:c>
      <x:c r="B294" s="33" t="str">
        <x:v>D12</x:v>
      </x:c>
      <x:c r="C294" s="33" t="str">
        <x:v>Existing controls</x:v>
      </x:c>
      <x:c r="D294" s="33" t="str">
        <x:v>Firewalls, email threat scanning and minimum-privilege access are reported.</x:v>
      </x:c>
      <x:c r="E294" s="33" t="str">
        <x:v>Case: third-party cloud backup, hosting and security advice. Assumption from Sam: firewalls, email scanning and minimum-privilege access operate as basic office safeguards.</x:v>
      </x:c>
      <x:c r="F294" s="33" t="str">
        <x:v>Applied in project review</x:v>
      </x:c>
      <x:c r="G294" s="43" t="d">
        <x:v>2026-10-18T00:00:00.000Z</x:v>
      </x:c>
    </x:row>
    <x:row r="295" ht="120" customHeight="1">
      <x:c r="A295" s="33" t="str">
        <x:v>R-024</x:v>
      </x:c>
      <x:c r="B295" s="33" t="str">
        <x:v>D12</x:v>
      </x:c>
      <x:c r="C295" s="33" t="str">
        <x:v>Control evidence status</x:v>
      </x:c>
      <x:c r="D295" s="33" t="str">
        <x:v>Reported in Sam’s draft; implementation and scope require verification.</x:v>
      </x:c>
      <x:c r="E295" s="33" t="str">
        <x:v>Mixed evidence: case arrangements plus explicit team assumptions; see Evidence and experience.</x:v>
      </x:c>
      <x:c r="F295" s="33" t="str">
        <x:v>Applied in project review</x:v>
      </x:c>
      <x:c r="G295" s="43" t="d">
        <x:v>2026-10-18T00:00:00.000Z</x:v>
      </x:c>
    </x:row>
    <x:row r="296" ht="120" customHeight="1">
      <x:c r="A296" s="33" t="str">
        <x:v>R-024</x:v>
      </x:c>
      <x:c r="B296" s="33" t="str">
        <x:v>D12</x:v>
      </x:c>
      <x:c r="C296" s="33" t="str">
        <x:v>Control effectiveness</x:v>
      </x:c>
      <x:c r="D296" s="33" t="str">
        <x:v>Effectiveness is not demonstrated. Test plans, results, remediation and recovery evidence are not documented.</x:v>
      </x:c>
      <x:c r="E296" s="33" t="str">
        <x:v>Basic safeguards may reduce exposure. Their remote-work coverage, integrity protection, monitoring and restoration performance are unverified.</x:v>
      </x:c>
      <x:c r="F296" s="33" t="str">
        <x:v>Applied in project review</x:v>
      </x:c>
      <x:c r="G296" s="43" t="d">
        <x:v>2026-10-18T00:00:00.000Z</x:v>
      </x:c>
    </x:row>
    <x:row r="297" ht="120" customHeight="1">
      <x:c r="A297" s="33" t="str">
        <x:v>R-024</x:v>
      </x:c>
      <x:c r="B297" s="33" t="str">
        <x:v>D12; D13</x:v>
      </x:c>
      <x:c r="C297" s="33" t="str">
        <x:v>Evidence and experience</x:v>
      </x:c>
      <x:c r="D297" s="33" t="str">
        <x:v>See Source Records for R-024 and Source Text for the original references. No verified internal incident history or empirical probability estimate is supplied. Historical examples require a scenario-date and relevance check before use.</x:v>
      </x:c>
      <x:c r="E297"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297" s="33" t="str">
        <x:v>Applied in project review</x:v>
      </x:c>
      <x:c r="G297" s="43" t="d">
        <x:v>2026-10-18T00:00:00.000Z</x:v>
      </x:c>
    </x:row>
    <x:row r="298" ht="120" customHeight="1">
      <x:c r="A298" s="33" t="str">
        <x:v>R-024</x:v>
      </x:c>
      <x:c r="B298" s="33" t="str">
        <x:v>D14</x:v>
      </x:c>
      <x:c r="C298" s="33" t="str">
        <x:v>Risk owner</x:v>
      </x:c>
      <x:c r="D298" s="33" t="str">
        <x:v>Unassigned</x:v>
      </x:c>
      <x:c r="E298" s="33" t="str">
        <x:v>Network Manager</x:v>
      </x:c>
      <x:c r="F298" s="33" t="str">
        <x:v>Applied in project review</x:v>
      </x:c>
      <x:c r="G298" s="43" t="d">
        <x:v>2026-10-18T00:00:00.000Z</x:v>
      </x:c>
    </x:row>
    <x:row r="299" ht="120" customHeight="1">
      <x:c r="A299" s="33" t="str">
        <x:v>R-024</x:v>
      </x:c>
      <x:c r="B299" s="33" t="str">
        <x:v>D11 / D12</x:v>
      </x:c>
      <x:c r="C299" s="33" t="str">
        <x:v>Assessment status</x:v>
      </x:c>
      <x:c r="D299" s="33" t="str">
        <x:v>Draft for review</x:v>
      </x:c>
      <x:c r="E299" s="33" t="str">
        <x:v>Revised draft for review</x:v>
      </x:c>
      <x:c r="F299" s="33" t="str">
        <x:v>Applied in project review</x:v>
      </x:c>
      <x:c r="G299" s="43" t="d">
        <x:v>2026-10-18T00:00:00.000Z</x:v>
      </x:c>
    </x:row>
    <x:row r="300" ht="120" customHeight="1">
      <x:c r="A300" s="33" t="str">
        <x:v>R-024</x:v>
      </x:c>
      <x:c r="B300" s="33" t="str">
        <x:v>D13</x:v>
      </x:c>
      <x:c r="C300" s="33" t="str">
        <x:v>Longer-term exposure</x:v>
      </x:c>
      <x:c r="D300" s="33" t="str">
        <x:v>Consequences may extend beyond three months; reassess during weekly reviews.</x:v>
      </x:c>
      <x:c r="E300" s="33" t="str">
        <x:v>Consequences may extend beyond three months; reassess during weekly reviews. Initial likelihood horizon ends 2020-06-30; later information belongs to dated reviews.</x:v>
      </x:c>
      <x:c r="F300" s="33" t="str">
        <x:v>Applied in project review</x:v>
      </x:c>
      <x:c r="G300" s="43" t="d">
        <x:v>2026-10-18T00:00:00.000Z</x:v>
      </x:c>
    </x:row>
    <x:row r="301" ht="120" customHeight="1">
      <x:c r="A301" s="33" t="str">
        <x:v>R-024</x:v>
      </x:c>
      <x:c r="B301" s="33" t="str">
        <x:v>D04 / D09</x:v>
      </x:c>
      <x:c r="C301" s="33" t="str">
        <x:v>Assessment status</x:v>
      </x:c>
      <x:c r="D301" s="33" t="str">
        <x:v>Revised draft for review</x:v>
      </x:c>
      <x:c r="E301" s="33" t="str">
        <x:v>Consolidated</x:v>
      </x:c>
      <x:c r="F301" s="33" t="str">
        <x:v>Applied in project review</x:v>
      </x:c>
      <x:c r="G301" s="43" t="d">
        <x:v>2026-10-18T00:00:00.000Z</x:v>
      </x:c>
    </x:row>
    <x:row r="302" ht="120" customHeight="1">
      <x:c r="A302" s="33" t="str">
        <x:v>R-024</x:v>
      </x:c>
      <x:c r="B302" s="33" t="str">
        <x:v>D04 / D09</x:v>
      </x:c>
      <x:c r="C302" s="33" t="str">
        <x:v>Likelihood</x:v>
      </x:c>
      <x:c r="D302" s="33" t="n">
        <x:v>3</x:v>
      </x:c>
      <x:c r="E302" s="33"/>
      <x:c r="F302" s="33" t="str">
        <x:v>Applied in project review</x:v>
      </x:c>
      <x:c r="G302" s="43" t="d">
        <x:v>2026-10-18T00:00:00.000Z</x:v>
      </x:c>
    </x:row>
    <x:row r="303" ht="120" customHeight="1">
      <x:c r="A303" s="33" t="str">
        <x:v>R-024</x:v>
      </x:c>
      <x:c r="B303" s="33" t="str">
        <x:v>D04 / D09</x:v>
      </x:c>
      <x:c r="C303" s="33" t="str">
        <x:v>Magnitude</x:v>
      </x:c>
      <x:c r="D303" s="33" t="n">
        <x:v>4</x:v>
      </x:c>
      <x:c r="E303" s="33"/>
      <x:c r="F303" s="33" t="str">
        <x:v>Applied in project review</x:v>
      </x:c>
      <x:c r="G303" s="43" t="d">
        <x:v>2026-10-18T00:00:00.000Z</x:v>
      </x:c>
    </x:row>
    <x:row r="304" ht="120" customHeight="1">
      <x:c r="A304" s="33" t="str">
        <x:v>R-024</x:v>
      </x:c>
      <x:c r="B304" s="33" t="str">
        <x:v>D04 / D09</x:v>
      </x:c>
      <x:c r="C304" s="33" t="str">
        <x:v>Tolerability</x:v>
      </x:c>
      <x:c r="D304" s="33" t="str">
        <x:v>Awaiting assessment</x:v>
      </x:c>
      <x:c r="E304" s="33" t="str">
        <x:v>Not assessed separately</x:v>
      </x:c>
      <x:c r="F304" s="33" t="str">
        <x:v>Applied in project review</x:v>
      </x:c>
      <x:c r="G304" s="43" t="d">
        <x:v>2026-10-18T00:00:00.000Z</x:v>
      </x:c>
    </x:row>
    <x:row r="305" ht="120" customHeight="1">
      <x:c r="A305" s="33" t="str">
        <x:v>R-024</x:v>
      </x:c>
      <x:c r="B305" s="33" t="str">
        <x:v>D04 / D09</x:v>
      </x:c>
      <x:c r="C305" s="33" t="str">
        <x:v>Tolerability reasoning</x:v>
      </x:c>
      <x:c r="D305" s="33" t="str">
        <x:v>The supplied information does not establish the remaining exposure after controls. Test plans, results, remediation and recovery evidence are not documented. A tolerability decision must consider the agreed appetite and the need to sustain assurance of capacity and recovery.</x:v>
      </x:c>
      <x:c r="E305" s="33" t="str">
        <x:v>Consolidated, not resolved. Current assessment is held in R-021; R-022; R-025. Original content and ratings remain in source/history sheets.</x:v>
      </x:c>
      <x:c r="F305" s="33" t="str">
        <x:v>Applied in project review</x:v>
      </x:c>
      <x:c r="G305" s="43" t="d">
        <x:v>2026-10-18T00:00:00.000Z</x:v>
      </x:c>
    </x:row>
    <x:row r="306" ht="120" customHeight="1">
      <x:c r="A306" s="33" t="str">
        <x:v>R-024</x:v>
      </x:c>
      <x:c r="B306" s="33" t="str">
        <x:v>Review batch</x:v>
      </x:c>
      <x:c r="C306" s="33" t="str">
        <x:v>Revision notes</x:v>
      </x:c>
      <x:c r="D306" s="33" t="str">
        <x:v>Cause, event and impact separated; wording aligned to pandemic onset. Source evidence and controls remain unverified. Proposed code I3-T-04 to I3-G-01 based on primary cause or index placement. Proposed scores 5/2 to 3/4; see assessment reasoning. D01: Chris approved the Governance and Processes classification on 2026-10-18 (project review). Scores and other assessments remain provisional.</x:v>
      </x:c>
      <x:c r="E306" s="33" t="str">
        <x:v>Cause, event and impact separated; wording aligned to pandemic onset. Source evidence and controls remain unverified. Proposed code I3-T-04 to I3-G-01 based on primary cause or index placement. Proposed scores 5/2 to 3/4; see assessment reasoning. D01: Chris approved the Governance and Processes classification on 2026-10-18 (project review). Scores and other assessments remain provisional. Decisions applied: D01; D04; D12–D14. See Decision Log for specific before/after values.</x:v>
      </x:c>
      <x:c r="F306" s="33" t="str">
        <x:v>Applied in project review</x:v>
      </x:c>
      <x:c r="G306" s="43" t="d">
        <x:v>2026-10-18T00:00:00.000Z</x:v>
      </x:c>
    </x:row>
    <x:row r="307" ht="120" customHeight="1">
      <x:c r="A307" s="33" t="str">
        <x:v>R-025</x:v>
      </x:c>
      <x:c r="B307" s="33" t="str">
        <x:v>D13</x:v>
      </x:c>
      <x:c r="C307" s="33" t="str">
        <x:v>Likelihood horizon</x:v>
      </x:c>
      <x:c r="D307" s="33" t="str">
        <x:v>Initial three months</x:v>
      </x:c>
      <x:c r="E307" s="33" t="str">
        <x:v>2020-04-01 to 2020-06-30</x:v>
      </x:c>
      <x:c r="F307" s="33" t="str">
        <x:v>Applied in project review</x:v>
      </x:c>
      <x:c r="G307" s="43" t="d">
        <x:v>2026-10-18T00:00:00.000Z</x:v>
      </x:c>
    </x:row>
    <x:row r="308" ht="120" customHeight="1">
      <x:c r="A308" s="33" t="str">
        <x:v>R-025</x:v>
      </x:c>
      <x:c r="B308" s="33" t="str">
        <x:v>D12</x:v>
      </x:c>
      <x:c r="C308" s="33" t="str">
        <x:v>Existing controls</x:v>
      </x:c>
      <x:c r="D308" s="33" t="str">
        <x:v>No supplier or remote-restoration continuity control is evidenced in the supplied controls assessment.</x:v>
      </x:c>
      <x:c r="E308" s="33" t="str">
        <x:v>Case: third-party cloud backup, hosting and security advice. Assumption from Sam: firewalls, email scanning and minimum-privilege access operate as basic office safeguards.</x:v>
      </x:c>
      <x:c r="F308" s="33" t="str">
        <x:v>Applied in project review</x:v>
      </x:c>
      <x:c r="G308" s="43" t="d">
        <x:v>2026-10-18T00:00:00.000Z</x:v>
      </x:c>
    </x:row>
    <x:row r="309" ht="120" customHeight="1">
      <x:c r="A309" s="33" t="str">
        <x:v>R-025</x:v>
      </x:c>
      <x:c r="B309" s="33" t="str">
        <x:v>D12</x:v>
      </x:c>
      <x:c r="C309" s="33" t="str">
        <x:v>Control evidence status</x:v>
      </x:c>
      <x:c r="D309" s="33" t="str">
        <x:v>Not evidenced in supplied material; absence is not confirmed.</x:v>
      </x:c>
      <x:c r="E309" s="33" t="str">
        <x:v>Mixed evidence: case arrangements plus explicit team assumptions; see Evidence and experience.</x:v>
      </x:c>
      <x:c r="F309" s="33" t="str">
        <x:v>Applied in project review</x:v>
      </x:c>
      <x:c r="G309" s="43" t="d">
        <x:v>2026-10-18T00:00:00.000Z</x:v>
      </x:c>
    </x:row>
    <x:row r="310" ht="120" customHeight="1">
      <x:c r="A310" s="33" t="str">
        <x:v>R-025</x:v>
      </x:c>
      <x:c r="B310" s="33" t="str">
        <x:v>D12</x:v>
      </x:c>
      <x:c r="C310" s="33" t="str">
        <x:v>Control effectiveness</x:v>
      </x:c>
      <x:c r="D310" s="33" t="str">
        <x:v>Effectiveness is not demonstrated. Remote support procedures, contacts and restoration performance are unverified.</x:v>
      </x:c>
      <x:c r="E310" s="33" t="str">
        <x:v>Basic safeguards may reduce exposure. Their remote-work coverage, integrity protection, monitoring and restoration performance are unverified.</x:v>
      </x:c>
      <x:c r="F310" s="33" t="str">
        <x:v>Applied in project review</x:v>
      </x:c>
      <x:c r="G310" s="43" t="d">
        <x:v>2026-10-18T00:00:00.000Z</x:v>
      </x:c>
    </x:row>
    <x:row r="311" ht="120" customHeight="1">
      <x:c r="A311" s="33" t="str">
        <x:v>R-025</x:v>
      </x:c>
      <x:c r="B311" s="33" t="str">
        <x:v>D12; D13</x:v>
      </x:c>
      <x:c r="C311" s="33" t="str">
        <x:v>Evidence and experience</x:v>
      </x:c>
      <x:c r="D311" s="33" t="str">
        <x:v>See Source Records for R-025 and Source Text for the original references. No verified internal incident history or empirical probability estimate is supplied. Historical examples require a scenario-date and relevance check before use.</x:v>
      </x:c>
      <x:c r="E311"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311" s="33" t="str">
        <x:v>Applied in project review</x:v>
      </x:c>
      <x:c r="G311" s="43" t="d">
        <x:v>2026-10-18T00:00:00.000Z</x:v>
      </x:c>
    </x:row>
    <x:row r="312" ht="120" customHeight="1">
      <x:c r="A312" s="33" t="str">
        <x:v>R-025</x:v>
      </x:c>
      <x:c r="B312" s="33" t="str">
        <x:v>D12 draft</x:v>
      </x:c>
      <x:c r="C312" s="33" t="str">
        <x:v>Tolerability</x:v>
      </x:c>
      <x:c r="D312" s="33" t="str">
        <x:v>Awaiting assessment</x:v>
      </x:c>
      <x:c r="E312" s="33" t="str">
        <x:v>Not tolerable</x:v>
      </x:c>
      <x:c r="F312" s="33" t="str">
        <x:v>Applied in project review</x:v>
      </x:c>
      <x:c r="G312" s="43" t="d">
        <x:v>2026-10-18T00:00:00.000Z</x:v>
      </x:c>
    </x:row>
    <x:row r="313" ht="120" customHeight="1">
      <x:c r="A313" s="33" t="str">
        <x:v>R-025</x:v>
      </x:c>
      <x:c r="B313" s="33" t="str">
        <x:v>D12 draft</x:v>
      </x:c>
      <x:c r="C313" s="33" t="str">
        <x:v>Tolerability reasoning</x:v>
      </x:c>
      <x:c r="D313" s="33" t="str">
        <x:v>The supplied information does not establish the remaining exposure after controls. Remote support procedures, contacts and restoration performance are unverified. A tolerability decision must consider the agreed appetite and the need to sustain staff coordination and recovery.</x:v>
      </x:c>
      <x:c r="E313" s="33" t="str">
        <x:v>Not tolerable on the assumed inability to restore essential services within required timeframes. Cloud backup alone does not prove recoverability; test and procedure weaknesses from consolidated records remain relevant.</x:v>
      </x:c>
      <x:c r="F313" s="33" t="str">
        <x:v>Applied in project review</x:v>
      </x:c>
      <x:c r="G313" s="43" t="d">
        <x:v>2026-10-18T00:00:00.000Z</x:v>
      </x:c>
    </x:row>
    <x:row r="314" ht="120" customHeight="1">
      <x:c r="A314" s="33" t="str">
        <x:v>R-025</x:v>
      </x:c>
      <x:c r="B314" s="33" t="str">
        <x:v>D14</x:v>
      </x:c>
      <x:c r="C314" s="33" t="str">
        <x:v>Risk owner</x:v>
      </x:c>
      <x:c r="D314" s="33" t="str">
        <x:v>Unassigned</x:v>
      </x:c>
      <x:c r="E314" s="33" t="str">
        <x:v>Network Manager</x:v>
      </x:c>
      <x:c r="F314" s="33" t="str">
        <x:v>Applied in project review</x:v>
      </x:c>
      <x:c r="G314" s="43" t="d">
        <x:v>2026-10-18T00:00:00.000Z</x:v>
      </x:c>
    </x:row>
    <x:row r="315" ht="120" customHeight="1">
      <x:c r="A315" s="33" t="str">
        <x:v>R-025</x:v>
      </x:c>
      <x:c r="B315" s="33" t="str">
        <x:v>D11 / D12</x:v>
      </x:c>
      <x:c r="C315" s="33" t="str">
        <x:v>Assessment status</x:v>
      </x:c>
      <x:c r="D315" s="33" t="str">
        <x:v>Draft for review</x:v>
      </x:c>
      <x:c r="E315" s="33" t="str">
        <x:v>Revised draft for review</x:v>
      </x:c>
      <x:c r="F315" s="33" t="str">
        <x:v>Applied in project review</x:v>
      </x:c>
      <x:c r="G315" s="43" t="d">
        <x:v>2026-10-18T00:00:00.000Z</x:v>
      </x:c>
    </x:row>
    <x:row r="316" ht="120" customHeight="1">
      <x:c r="A316" s="33" t="str">
        <x:v>R-025</x:v>
      </x:c>
      <x:c r="B316" s="33" t="str">
        <x:v>D13</x:v>
      </x:c>
      <x:c r="C316" s="33" t="str">
        <x:v>Longer-term exposure</x:v>
      </x:c>
      <x:c r="D316" s="33" t="str">
        <x:v>Consequences may extend beyond three months; reassess during weekly reviews.</x:v>
      </x:c>
      <x:c r="E316" s="33" t="str">
        <x:v>Consequences may extend beyond three months; reassess during weekly reviews. Initial likelihood horizon ends 2020-06-30; later information belongs to dated reviews.</x:v>
      </x:c>
      <x:c r="F316" s="33" t="str">
        <x:v>Applied in project review</x:v>
      </x:c>
      <x:c r="G316" s="43" t="d">
        <x:v>2026-10-18T00:00:00.000Z</x:v>
      </x:c>
    </x:row>
    <x:row r="317" ht="120" customHeight="1">
      <x:c r="A317" s="33" t="str">
        <x:v>R-025</x:v>
      </x:c>
      <x:c r="B317" s="33" t="str">
        <x:v>Review batch</x:v>
      </x:c>
      <x:c r="C317" s="33" t="str">
        <x:v>Revision notes</x:v>
      </x:c>
      <x:c r="D317" s="33" t="str">
        <x:v>Cause, event and impact separated; wording aligned to pandemic onset. Source evidence and controls remain unverified. Proposed scores 4/3 to 3/3; see assessment reasoning.</x:v>
      </x:c>
      <x:c r="E317" s="33" t="str">
        <x:v>Cause, event and impact separated; wording aligned to pandemic onset. Source evidence and controls remain unverified. Proposed scores 4/3 to 3/3; see assessment reasoning. Decisions applied: D04; D11; D12–D14. See Decision Log for specific before/after values.</x:v>
      </x:c>
      <x:c r="F317" s="33" t="str">
        <x:v>Applied in project review</x:v>
      </x:c>
      <x:c r="G317" s="43" t="d">
        <x:v>2026-10-18T00:00:00.000Z</x:v>
      </x:c>
    </x:row>
    <x:row r="318" ht="120" customHeight="1">
      <x:c r="A318" s="33" t="str">
        <x:v>R-026</x:v>
      </x:c>
      <x:c r="B318" s="33" t="str">
        <x:v>D13</x:v>
      </x:c>
      <x:c r="C318" s="33" t="str">
        <x:v>Likelihood horizon</x:v>
      </x:c>
      <x:c r="D318" s="33" t="str">
        <x:v>Initial three months</x:v>
      </x:c>
      <x:c r="E318" s="33" t="str">
        <x:v>2020-04-01 to 2020-06-30</x:v>
      </x:c>
      <x:c r="F318" s="33" t="str">
        <x:v>Applied in project review</x:v>
      </x:c>
      <x:c r="G318" s="43" t="d">
        <x:v>2026-10-18T00:00:00.000Z</x:v>
      </x:c>
    </x:row>
    <x:row r="319" ht="120" customHeight="1">
      <x:c r="A319" s="33" t="str">
        <x:v>R-026</x:v>
      </x:c>
      <x:c r="B319" s="33" t="str">
        <x:v>D12</x:v>
      </x:c>
      <x:c r="C319" s="33" t="str">
        <x:v>Existing controls</x:v>
      </x:c>
      <x:c r="D319" s="33" t="str">
        <x:v>No supplier or remote-restoration continuity control is evidenced in the supplied controls assessment.</x:v>
      </x:c>
      <x:c r="E319" s="33" t="str">
        <x:v>Case: third-party service relationships, including backup, hosting, security advice and legal services. No supplier continuity assurance is specified.</x:v>
      </x:c>
      <x:c r="F319" s="33" t="str">
        <x:v>Applied in project review</x:v>
      </x:c>
      <x:c r="G319" s="43" t="d">
        <x:v>2026-10-18T00:00:00.000Z</x:v>
      </x:c>
    </x:row>
    <x:row r="320" ht="120" customHeight="1">
      <x:c r="A320" s="33" t="str">
        <x:v>R-026</x:v>
      </x:c>
      <x:c r="B320" s="33" t="str">
        <x:v>D12</x:v>
      </x:c>
      <x:c r="C320" s="33" t="str">
        <x:v>Control evidence status</x:v>
      </x:c>
      <x:c r="D320" s="33" t="str">
        <x:v>Not evidenced in supplied material; absence is not confirmed.</x:v>
      </x:c>
      <x:c r="E320" s="33" t="str">
        <x:v>Mixed evidence: case arrangements plus explicit team assumptions; see Evidence and experience.</x:v>
      </x:c>
      <x:c r="F320" s="33" t="str">
        <x:v>Applied in project review</x:v>
      </x:c>
      <x:c r="G320" s="43" t="d">
        <x:v>2026-10-18T00:00:00.000Z</x:v>
      </x:c>
    </x:row>
    <x:row r="321" ht="120" customHeight="1">
      <x:c r="A321" s="33" t="str">
        <x:v>R-026</x:v>
      </x:c>
      <x:c r="B321" s="33" t="str">
        <x:v>D12</x:v>
      </x:c>
      <x:c r="C321" s="33" t="str">
        <x:v>Control effectiveness</x:v>
      </x:c>
      <x:c r="D321" s="33" t="str">
        <x:v>Effectiveness is not demonstrated. Continuity commitments, alternatives, service monitoring and handover arrangements are unverified.</x:v>
      </x:c>
      <x:c r="E321" s="33" t="str">
        <x:v>Access to providers is not proof of resilience. Contracts, alternative capacity and service continuity need assessment.</x:v>
      </x:c>
      <x:c r="F321" s="33" t="str">
        <x:v>Applied in project review</x:v>
      </x:c>
      <x:c r="G321" s="43" t="d">
        <x:v>2026-10-18T00:00:00.000Z</x:v>
      </x:c>
    </x:row>
    <x:row r="322" ht="120" customHeight="1">
      <x:c r="A322" s="33" t="str">
        <x:v>R-026</x:v>
      </x:c>
      <x:c r="B322" s="33" t="str">
        <x:v>D12; D13</x:v>
      </x:c>
      <x:c r="C322" s="33" t="str">
        <x:v>Evidence and experience</x:v>
      </x:c>
      <x:c r="D322" s="33" t="str">
        <x:v>See Source Records for R-026 and Source Text for the original references. No verified internal incident history or empirical probability estimate is supplied. Historical examples require a scenario-date and relevance check before use.</x:v>
      </x:c>
      <x:c r="E322"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322" s="33" t="str">
        <x:v>Applied in project review</x:v>
      </x:c>
      <x:c r="G322" s="43" t="d">
        <x:v>2026-10-18T00:00:00.000Z</x:v>
      </x:c>
    </x:row>
    <x:row r="323" ht="120" customHeight="1">
      <x:c r="A323" s="33" t="str">
        <x:v>R-026</x:v>
      </x:c>
      <x:c r="B323" s="33" t="str">
        <x:v>D12 draft</x:v>
      </x:c>
      <x:c r="C323" s="33" t="str">
        <x:v>Tolerability</x:v>
      </x:c>
      <x:c r="D323" s="33" t="str">
        <x:v>Awaiting assessment</x:v>
      </x:c>
      <x:c r="E323" s="33" t="str">
        <x:v>Not tolerable</x:v>
      </x:c>
      <x:c r="F323" s="33" t="str">
        <x:v>Applied in project review</x:v>
      </x:c>
      <x:c r="G323" s="43" t="d">
        <x:v>2026-10-18T00:00:00.000Z</x:v>
      </x:c>
    </x:row>
    <x:row r="324" ht="120" customHeight="1">
      <x:c r="A324" s="33" t="str">
        <x:v>R-026</x:v>
      </x:c>
      <x:c r="B324" s="33" t="str">
        <x:v>D12 draft</x:v>
      </x:c>
      <x:c r="C324" s="33" t="str">
        <x:v>Tolerability reasoning</x:v>
      </x:c>
      <x:c r="D324" s="33" t="str">
        <x:v>The supplied information does not establish the remaining exposure after controls. Continuity commitments, alternatives, service monitoring and handover arrangements are unverified. A tolerability decision must consider the agreed appetite and the need to sustain critical suppliers.</x:v>
      </x:c>
      <x:c r="E324" s="33" t="str">
        <x:v>Not tolerable for an essential supplier failure with no workable substitute on the assessed assumption. Routine noncritical supplier delays would warrant a different decision.</x:v>
      </x:c>
      <x:c r="F324" s="33" t="str">
        <x:v>Applied in project review</x:v>
      </x:c>
      <x:c r="G324" s="43" t="d">
        <x:v>2026-10-18T00:00:00.000Z</x:v>
      </x:c>
    </x:row>
    <x:row r="325" ht="120" customHeight="1">
      <x:c r="A325" s="33" t="str">
        <x:v>R-026</x:v>
      </x:c>
      <x:c r="B325" s="33" t="str">
        <x:v>D14</x:v>
      </x:c>
      <x:c r="C325" s="33" t="str">
        <x:v>Risk owner</x:v>
      </x:c>
      <x:c r="D325" s="33" t="str">
        <x:v>Unassigned</x:v>
      </x:c>
      <x:c r="E325" s="33" t="str">
        <x:v>Designated Executive Director</x:v>
      </x:c>
      <x:c r="F325" s="33" t="str">
        <x:v>Applied in project review</x:v>
      </x:c>
      <x:c r="G325" s="43" t="d">
        <x:v>2026-10-18T00:00:00.000Z</x:v>
      </x:c>
    </x:row>
    <x:row r="326" ht="120" customHeight="1">
      <x:c r="A326" s="33" t="str">
        <x:v>R-026</x:v>
      </x:c>
      <x:c r="B326" s="33" t="str">
        <x:v>D11 / D12</x:v>
      </x:c>
      <x:c r="C326" s="33" t="str">
        <x:v>Assessment status</x:v>
      </x:c>
      <x:c r="D326" s="33" t="str">
        <x:v>Draft for review</x:v>
      </x:c>
      <x:c r="E326" s="33" t="str">
        <x:v>Revised draft for review</x:v>
      </x:c>
      <x:c r="F326" s="33" t="str">
        <x:v>Applied in project review</x:v>
      </x:c>
      <x:c r="G326" s="43" t="d">
        <x:v>2026-10-18T00:00:00.000Z</x:v>
      </x:c>
    </x:row>
    <x:row r="327" ht="120" customHeight="1">
      <x:c r="A327" s="33" t="str">
        <x:v>R-026</x:v>
      </x:c>
      <x:c r="B327" s="33" t="str">
        <x:v>D13</x:v>
      </x:c>
      <x:c r="C327" s="33" t="str">
        <x:v>Longer-term exposure</x:v>
      </x:c>
      <x:c r="D327" s="33" t="str">
        <x:v>Consequences may extend beyond three months; reassess during weekly reviews.</x:v>
      </x:c>
      <x:c r="E327" s="33" t="str">
        <x:v>Consequences may extend beyond three months; reassess during weekly reviews. Initial likelihood horizon ends 2020-06-30; later information belongs to dated reviews.</x:v>
      </x:c>
      <x:c r="F327" s="33" t="str">
        <x:v>Applied in project review</x:v>
      </x:c>
      <x:c r="G327" s="43" t="d">
        <x:v>2026-10-18T00:00:00.000Z</x:v>
      </x:c>
    </x:row>
    <x:row r="328" ht="120" customHeight="1">
      <x:c r="A328" s="33" t="str">
        <x:v>R-026</x:v>
      </x:c>
      <x:c r="B328" s="33" t="str">
        <x:v>Review batch</x:v>
      </x:c>
      <x:c r="C328" s="33" t="str">
        <x:v>Revision notes</x:v>
      </x:c>
      <x:c r="D328" s="33" t="str">
        <x:v>Cause, event and impact separated; wording aligned to pandemic onset. Source evidence and controls remain unverified.</x:v>
      </x:c>
      <x:c r="E328" s="33" t="str">
        <x:v>Cause, event and impact separated; wording aligned to pandemic onset. Source evidence and controls remain unverified. Decisions applied: D11; D12–D14. See Decision Log for specific before/after values.</x:v>
      </x:c>
      <x:c r="F328" s="33" t="str">
        <x:v>Applied in project review</x:v>
      </x:c>
      <x:c r="G328" s="43" t="d">
        <x:v>2026-10-18T00:00:00.000Z</x:v>
      </x:c>
    </x:row>
    <x:row r="329" ht="120" customHeight="1">
      <x:c r="A329" s="33" t="str">
        <x:v>R-027</x:v>
      </x:c>
      <x:c r="B329" s="33" t="str">
        <x:v>D13</x:v>
      </x:c>
      <x:c r="C329" s="33" t="str">
        <x:v>Likelihood horizon</x:v>
      </x:c>
      <x:c r="D329" s="33" t="str">
        <x:v>Initial three months</x:v>
      </x:c>
      <x:c r="E329" s="33" t="str">
        <x:v>2020-04-01 to 2020-06-30</x:v>
      </x:c>
      <x:c r="F329" s="33" t="str">
        <x:v>Applied in project review</x:v>
      </x:c>
      <x:c r="G329" s="43" t="d">
        <x:v>2026-10-18T00:00:00.000Z</x:v>
      </x:c>
    </x:row>
    <x:row r="330" ht="120" customHeight="1">
      <x:c r="A330" s="33" t="str">
        <x:v>R-027</x:v>
      </x:c>
      <x:c r="B330" s="33" t="str">
        <x:v>D12</x:v>
      </x:c>
      <x:c r="C330" s="33" t="str">
        <x:v>Existing controls</x:v>
      </x:c>
      <x:c r="D330" s="33" t="str">
        <x:v>No supplier or remote-restoration continuity control is evidenced in the supplied controls assessment.</x:v>
      </x:c>
      <x:c r="E330" s="33" t="str">
        <x:v>Case: third-party cloud backup, hosting and security advice. Assumption from Sam: firewalls, email scanning and minimum-privilege access operate as basic office safeguards.</x:v>
      </x:c>
      <x:c r="F330" s="33" t="str">
        <x:v>Applied in project review</x:v>
      </x:c>
      <x:c r="G330" s="43" t="d">
        <x:v>2026-10-18T00:00:00.000Z</x:v>
      </x:c>
    </x:row>
    <x:row r="331" ht="120" customHeight="1">
      <x:c r="A331" s="33" t="str">
        <x:v>R-027</x:v>
      </x:c>
      <x:c r="B331" s="33" t="str">
        <x:v>D12</x:v>
      </x:c>
      <x:c r="C331" s="33" t="str">
        <x:v>Control evidence status</x:v>
      </x:c>
      <x:c r="D331" s="33" t="str">
        <x:v>Not evidenced in supplied material; absence is not confirmed.</x:v>
      </x:c>
      <x:c r="E331" s="33" t="str">
        <x:v>Mixed evidence: case arrangements plus explicit team assumptions; see Evidence and experience.</x:v>
      </x:c>
      <x:c r="F331" s="33" t="str">
        <x:v>Applied in project review</x:v>
      </x:c>
      <x:c r="G331" s="43" t="d">
        <x:v>2026-10-18T00:00:00.000Z</x:v>
      </x:c>
    </x:row>
    <x:row r="332" ht="120" customHeight="1">
      <x:c r="A332" s="33" t="str">
        <x:v>R-027</x:v>
      </x:c>
      <x:c r="B332" s="33" t="str">
        <x:v>D12</x:v>
      </x:c>
      <x:c r="C332" s="33" t="str">
        <x:v>Control effectiveness</x:v>
      </x:c>
      <x:c r="D332" s="33" t="str">
        <x:v>Effectiveness is not demonstrated. Remote recovery procedures, exercises, authority and fallback arrangements need verification.</x:v>
      </x:c>
      <x:c r="E332" s="33" t="str">
        <x:v>Basic safeguards may reduce exposure. Their remote-work coverage, integrity protection, monitoring and restoration performance are unverified.</x:v>
      </x:c>
      <x:c r="F332" s="33" t="str">
        <x:v>Applied in project review</x:v>
      </x:c>
      <x:c r="G332" s="43" t="d">
        <x:v>2026-10-18T00:00:00.000Z</x:v>
      </x:c>
    </x:row>
    <x:row r="333" ht="120" customHeight="1">
      <x:c r="A333" s="33" t="str">
        <x:v>R-027</x:v>
      </x:c>
      <x:c r="B333" s="33" t="str">
        <x:v>D12; D13</x:v>
      </x:c>
      <x:c r="C333" s="33" t="str">
        <x:v>Evidence and experience</x:v>
      </x:c>
      <x:c r="D333" s="33" t="str">
        <x:v>See Source Records for R-027 and Source Text for the original references. No verified internal incident history or empirical probability estimate is supplied. Historical examples require a scenario-date and relevance check before use.</x:v>
      </x:c>
      <x:c r="E333"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333" s="33" t="str">
        <x:v>Applied in project review</x:v>
      </x:c>
      <x:c r="G333" s="43" t="d">
        <x:v>2026-10-18T00:00:00.000Z</x:v>
      </x:c>
    </x:row>
    <x:row r="334" ht="120" customHeight="1">
      <x:c r="A334" s="33" t="str">
        <x:v>R-027</x:v>
      </x:c>
      <x:c r="B334" s="33" t="str">
        <x:v>D14</x:v>
      </x:c>
      <x:c r="C334" s="33" t="str">
        <x:v>Risk owner</x:v>
      </x:c>
      <x:c r="D334" s="33" t="str">
        <x:v>Unassigned</x:v>
      </x:c>
      <x:c r="E334" s="33" t="str">
        <x:v>Network Manager</x:v>
      </x:c>
      <x:c r="F334" s="33" t="str">
        <x:v>Applied in project review</x:v>
      </x:c>
      <x:c r="G334" s="43" t="d">
        <x:v>2026-10-18T00:00:00.000Z</x:v>
      </x:c>
    </x:row>
    <x:row r="335" ht="120" customHeight="1">
      <x:c r="A335" s="33" t="str">
        <x:v>R-027</x:v>
      </x:c>
      <x:c r="B335" s="33" t="str">
        <x:v>D11 / D12</x:v>
      </x:c>
      <x:c r="C335" s="33" t="str">
        <x:v>Assessment status</x:v>
      </x:c>
      <x:c r="D335" s="33" t="str">
        <x:v>Draft for review</x:v>
      </x:c>
      <x:c r="E335" s="33" t="str">
        <x:v>Revised draft for review</x:v>
      </x:c>
      <x:c r="F335" s="33" t="str">
        <x:v>Applied in project review</x:v>
      </x:c>
      <x:c r="G335" s="43" t="d">
        <x:v>2026-10-18T00:00:00.000Z</x:v>
      </x:c>
    </x:row>
    <x:row r="336" ht="120" customHeight="1">
      <x:c r="A336" s="33" t="str">
        <x:v>R-027</x:v>
      </x:c>
      <x:c r="B336" s="33" t="str">
        <x:v>D13</x:v>
      </x:c>
      <x:c r="C336" s="33" t="str">
        <x:v>Longer-term exposure</x:v>
      </x:c>
      <x:c r="D336" s="33" t="str">
        <x:v>Consequences may extend beyond three months; reassess during weekly reviews.</x:v>
      </x:c>
      <x:c r="E336" s="33" t="str">
        <x:v>Consequences may extend beyond three months; reassess during weekly reviews. Initial likelihood horizon ends 2020-06-30; later information belongs to dated reviews.</x:v>
      </x:c>
      <x:c r="F336" s="33" t="str">
        <x:v>Applied in project review</x:v>
      </x:c>
      <x:c r="G336" s="43" t="d">
        <x:v>2026-10-18T00:00:00.000Z</x:v>
      </x:c>
    </x:row>
    <x:row r="337" ht="120" customHeight="1">
      <x:c r="A337" s="33" t="str">
        <x:v>R-027</x:v>
      </x:c>
      <x:c r="B337" s="33" t="str">
        <x:v>D04 / D09</x:v>
      </x:c>
      <x:c r="C337" s="33" t="str">
        <x:v>Assessment status</x:v>
      </x:c>
      <x:c r="D337" s="33" t="str">
        <x:v>Revised draft for review</x:v>
      </x:c>
      <x:c r="E337" s="33" t="str">
        <x:v>Consolidated</x:v>
      </x:c>
      <x:c r="F337" s="33" t="str">
        <x:v>Applied in project review</x:v>
      </x:c>
      <x:c r="G337" s="43" t="d">
        <x:v>2026-10-18T00:00:00.000Z</x:v>
      </x:c>
    </x:row>
    <x:row r="338" ht="120" customHeight="1">
      <x:c r="A338" s="33" t="str">
        <x:v>R-027</x:v>
      </x:c>
      <x:c r="B338" s="33" t="str">
        <x:v>D04 / D09</x:v>
      </x:c>
      <x:c r="C338" s="33" t="str">
        <x:v>Likelihood</x:v>
      </x:c>
      <x:c r="D338" s="33" t="n">
        <x:v>3</x:v>
      </x:c>
      <x:c r="E338" s="33"/>
      <x:c r="F338" s="33" t="str">
        <x:v>Applied in project review</x:v>
      </x:c>
      <x:c r="G338" s="43" t="d">
        <x:v>2026-10-18T00:00:00.000Z</x:v>
      </x:c>
    </x:row>
    <x:row r="339" ht="120" customHeight="1">
      <x:c r="A339" s="33" t="str">
        <x:v>R-027</x:v>
      </x:c>
      <x:c r="B339" s="33" t="str">
        <x:v>D04 / D09</x:v>
      </x:c>
      <x:c r="C339" s="33" t="str">
        <x:v>Magnitude</x:v>
      </x:c>
      <x:c r="D339" s="33" t="n">
        <x:v>4</x:v>
      </x:c>
      <x:c r="E339" s="33"/>
      <x:c r="F339" s="33" t="str">
        <x:v>Applied in project review</x:v>
      </x:c>
      <x:c r="G339" s="43" t="d">
        <x:v>2026-10-18T00:00:00.000Z</x:v>
      </x:c>
    </x:row>
    <x:row r="340" ht="120" customHeight="1">
      <x:c r="A340" s="33" t="str">
        <x:v>R-027</x:v>
      </x:c>
      <x:c r="B340" s="33" t="str">
        <x:v>D04 / D09</x:v>
      </x:c>
      <x:c r="C340" s="33" t="str">
        <x:v>Tolerability</x:v>
      </x:c>
      <x:c r="D340" s="33" t="str">
        <x:v>Awaiting assessment</x:v>
      </x:c>
      <x:c r="E340" s="33" t="str">
        <x:v>Not assessed separately</x:v>
      </x:c>
      <x:c r="F340" s="33" t="str">
        <x:v>Applied in project review</x:v>
      </x:c>
      <x:c r="G340" s="43" t="d">
        <x:v>2026-10-18T00:00:00.000Z</x:v>
      </x:c>
    </x:row>
    <x:row r="341" ht="120" customHeight="1">
      <x:c r="A341" s="33" t="str">
        <x:v>R-027</x:v>
      </x:c>
      <x:c r="B341" s="33" t="str">
        <x:v>D04 / D09</x:v>
      </x:c>
      <x:c r="C341" s="33" t="str">
        <x:v>Tolerability reasoning</x:v>
      </x:c>
      <x:c r="D341" s="33" t="str">
        <x:v>The supplied information does not establish the remaining exposure after controls. Remote recovery procedures, exercises, authority and fallback arrangements need verification. A tolerability decision must consider the agreed appetite and the need to sustain recovery governance and dependencies.</x:v>
      </x:c>
      <x:c r="E341" s="33" t="str">
        <x:v>Consolidated, not resolved. Current assessment is held in R-025. Original content and ratings remain in source/history sheets.</x:v>
      </x:c>
      <x:c r="F341" s="33" t="str">
        <x:v>Applied in project review</x:v>
      </x:c>
      <x:c r="G341" s="43" t="d">
        <x:v>2026-10-18T00:00:00.000Z</x:v>
      </x:c>
    </x:row>
    <x:row r="342" ht="120" customHeight="1">
      <x:c r="A342" s="33" t="str">
        <x:v>R-027</x:v>
      </x:c>
      <x:c r="B342" s="33" t="str">
        <x:v>Review batch</x:v>
      </x:c>
      <x:c r="C342" s="33" t="str">
        <x:v>Revision notes</x:v>
      </x:c>
      <x:c r="D342" s="33" t="str">
        <x:v>Cause, event and impact separated; wording aligned to pandemic onset. Source evidence and controls remain unverified. Proposed code I4-T-01 to I4-G-01 based on primary cause or index placement. Proposed scores 4/4 to 3/4; see assessment reasoning. D01: Chris approved the Governance and Processes classification on 2026-10-18 (project review). Scores and other assessments remain provisional.</x:v>
      </x:c>
      <x:c r="E342" s="33" t="str">
        <x:v>Cause, event and impact separated; wording aligned to pandemic onset. Source evidence and controls remain unverified. Proposed code I4-T-01 to I4-G-01 based on primary cause or index placement. Proposed scores 4/4 to 3/4; see assessment reasoning. D01: Chris approved the Governance and Processes classification on 2026-10-18 (project review). Scores and other assessments remain provisional. Decisions applied: D01; D04; D12–D14. See Decision Log for specific before/after values.</x:v>
      </x:c>
      <x:c r="F342" s="33" t="str">
        <x:v>Applied in project review</x:v>
      </x:c>
      <x:c r="G342" s="43" t="d">
        <x:v>2026-10-18T00:00:00.000Z</x:v>
      </x:c>
    </x:row>
    <x:row r="343" ht="120" customHeight="1">
      <x:c r="A343" s="33" t="str">
        <x:v>R-028</x:v>
      </x:c>
      <x:c r="B343" s="33" t="str">
        <x:v>D13</x:v>
      </x:c>
      <x:c r="C343" s="33" t="str">
        <x:v>Likelihood horizon</x:v>
      </x:c>
      <x:c r="D343" s="33" t="str">
        <x:v>Initial three months</x:v>
      </x:c>
      <x:c r="E343" s="33" t="str">
        <x:v>2020-04-01 to 2020-06-30</x:v>
      </x:c>
      <x:c r="F343" s="33" t="str">
        <x:v>Applied in project review</x:v>
      </x:c>
      <x:c r="G343" s="43" t="d">
        <x:v>2026-10-18T00:00:00.000Z</x:v>
      </x:c>
    </x:row>
    <x:row r="344" ht="120" customHeight="1">
      <x:c r="A344" s="33" t="str">
        <x:v>R-028</x:v>
      </x:c>
      <x:c r="B344" s="33" t="str">
        <x:v>D12</x:v>
      </x:c>
      <x:c r="C344" s="33" t="str">
        <x:v>Existing controls</x:v>
      </x:c>
      <x:c r="D344" s="33" t="str">
        <x:v>Social-media crisis templates and access to legal support are reported.</x:v>
      </x:c>
      <x:c r="E344" s="33" t="str">
        <x:v>Case: customer-service roles and digital service channels. Assumption from Sam: a customer incentive fund is available.</x:v>
      </x:c>
      <x:c r="F344" s="33" t="str">
        <x:v>Applied in project review</x:v>
      </x:c>
      <x:c r="G344" s="43" t="d">
        <x:v>2026-10-18T00:00:00.000Z</x:v>
      </x:c>
    </x:row>
    <x:row r="345" ht="120" customHeight="1">
      <x:c r="A345" s="33" t="str">
        <x:v>R-028</x:v>
      </x:c>
      <x:c r="B345" s="33" t="str">
        <x:v>D12</x:v>
      </x:c>
      <x:c r="C345" s="33" t="str">
        <x:v>Control evidence status</x:v>
      </x:c>
      <x:c r="D345" s="33" t="str">
        <x:v>Reported in Sam’s draft; implementation and scope require verification.</x:v>
      </x:c>
      <x:c r="E345" s="33" t="str">
        <x:v>Mixed evidence: case arrangements plus explicit team assumptions; see Evidence and experience.</x:v>
      </x:c>
      <x:c r="F345" s="33" t="str">
        <x:v>Applied in project review</x:v>
      </x:c>
      <x:c r="G345" s="43" t="d">
        <x:v>2026-10-18T00:00:00.000Z</x:v>
      </x:c>
    </x:row>
    <x:row r="346" ht="120" customHeight="1">
      <x:c r="A346" s="33" t="str">
        <x:v>R-028</x:v>
      </x:c>
      <x:c r="B346" s="33" t="str">
        <x:v>D12</x:v>
      </x:c>
      <x:c r="C346" s="33" t="str">
        <x:v>Control effectiveness</x:v>
      </x:c>
      <x:c r="D346" s="33" t="str">
        <x:v>Effectiveness is not demonstrated. Baseline response times, workloads, service limits and contingency staffing are unverified.</x:v>
      </x:c>
      <x:c r="E346" s="33" t="str">
        <x:v>Incentives can assist recovery after a failure but do not prevent workload or staffing disruption.</x:v>
      </x:c>
      <x:c r="F346" s="33" t="str">
        <x:v>Applied in project review</x:v>
      </x:c>
      <x:c r="G346" s="43" t="d">
        <x:v>2026-10-18T00:00:00.000Z</x:v>
      </x:c>
    </x:row>
    <x:row r="347" ht="120" customHeight="1">
      <x:c r="A347" s="33" t="str">
        <x:v>R-028</x:v>
      </x:c>
      <x:c r="B347" s="33" t="str">
        <x:v>D12; D13</x:v>
      </x:c>
      <x:c r="C347" s="33" t="str">
        <x:v>Evidence and experience</x:v>
      </x:c>
      <x:c r="D347" s="33" t="str">
        <x:v>See Source Records for R-028 and Source Text for the original references. No verified internal incident history or empirical probability estimate is supplied. Historical examples require a scenario-date and relevance check before use.</x:v>
      </x:c>
      <x:c r="E347" s="33" t="str">
        <x:v>Business outline(1).pdf: The case confirms a small workforce and functional roles (pp. 6–7), but no trained backup or staff-continuity arrangements.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347" s="33" t="str">
        <x:v>Applied in project review</x:v>
      </x:c>
      <x:c r="G347" s="43" t="d">
        <x:v>2026-10-18T00:00:00.000Z</x:v>
      </x:c>
    </x:row>
    <x:row r="348" ht="120" customHeight="1">
      <x:c r="A348" s="33" t="str">
        <x:v>R-028</x:v>
      </x:c>
      <x:c r="B348" s="33" t="str">
        <x:v>D12 draft</x:v>
      </x:c>
      <x:c r="C348" s="33" t="str">
        <x:v>Tolerability</x:v>
      </x:c>
      <x:c r="D348" s="33" t="str">
        <x:v>Awaiting assessment</x:v>
      </x:c>
      <x:c r="E348" s="33" t="str">
        <x:v>Not tolerable</x:v>
      </x:c>
      <x:c r="F348" s="33" t="str">
        <x:v>Applied in project review</x:v>
      </x:c>
      <x:c r="G348" s="43" t="d">
        <x:v>2026-10-18T00:00:00.000Z</x:v>
      </x:c>
    </x:row>
    <x:row r="349" ht="120" customHeight="1">
      <x:c r="A349" s="33" t="str">
        <x:v>R-028</x:v>
      </x:c>
      <x:c r="B349" s="33" t="str">
        <x:v>D12 draft</x:v>
      </x:c>
      <x:c r="C349" s="33" t="str">
        <x:v>Tolerability reasoning</x:v>
      </x:c>
      <x:c r="D349" s="33" t="str">
        <x:v>The supplied information does not establish the remaining exposure after controls. Baseline response times, workloads, service limits and contingency staffing are unverified. A tolerability decision must consider the agreed appetite and the need to sustain claims capacity and customer trust.</x:v>
      </x:c>
      <x:c r="E349" s="33" t="str">
        <x:v>Not tolerable if surge demand produces material claims delays beyond the organization’s accepted service position. A customer incentive fund does not address processing capacity. Exact limits remain to be defined.</x:v>
      </x:c>
      <x:c r="F349" s="33" t="str">
        <x:v>Applied in project review</x:v>
      </x:c>
      <x:c r="G349" s="43" t="d">
        <x:v>2026-10-18T00:00:00.000Z</x:v>
      </x:c>
    </x:row>
    <x:row r="350" ht="120" customHeight="1">
      <x:c r="A350" s="33" t="str">
        <x:v>R-028</x:v>
      </x:c>
      <x:c r="B350" s="33" t="str">
        <x:v>D14</x:v>
      </x:c>
      <x:c r="C350" s="33" t="str">
        <x:v>Risk owner</x:v>
      </x:c>
      <x:c r="D350" s="33" t="str">
        <x:v>Unassigned</x:v>
      </x:c>
      <x:c r="E350" s="33" t="str">
        <x:v>Claims Manager</x:v>
      </x:c>
      <x:c r="F350" s="33" t="str">
        <x:v>Applied in project review</x:v>
      </x:c>
      <x:c r="G350" s="43" t="d">
        <x:v>2026-10-18T00:00:00.000Z</x:v>
      </x:c>
    </x:row>
    <x:row r="351" ht="120" customHeight="1">
      <x:c r="A351" s="33" t="str">
        <x:v>R-028</x:v>
      </x:c>
      <x:c r="B351" s="33" t="str">
        <x:v>D11 / D12</x:v>
      </x:c>
      <x:c r="C351" s="33" t="str">
        <x:v>Assessment status</x:v>
      </x:c>
      <x:c r="D351" s="33" t="str">
        <x:v>Draft for review</x:v>
      </x:c>
      <x:c r="E351" s="33" t="str">
        <x:v>Revised draft for review</x:v>
      </x:c>
      <x:c r="F351" s="33" t="str">
        <x:v>Applied in project review</x:v>
      </x:c>
      <x:c r="G351" s="43" t="d">
        <x:v>2026-10-18T00:00:00.000Z</x:v>
      </x:c>
    </x:row>
    <x:row r="352" ht="120" customHeight="1">
      <x:c r="A352" s="33" t="str">
        <x:v>R-028</x:v>
      </x:c>
      <x:c r="B352" s="33" t="str">
        <x:v>D13</x:v>
      </x:c>
      <x:c r="C352" s="33" t="str">
        <x:v>Longer-term exposure</x:v>
      </x:c>
      <x:c r="D352" s="33" t="str">
        <x:v>Consequences may extend beyond three months; reassess during weekly reviews.</x:v>
      </x:c>
      <x:c r="E352" s="33" t="str">
        <x:v>Consequences may extend beyond three months; reassess during weekly reviews. Initial likelihood horizon ends 2020-06-30; later information belongs to dated reviews.</x:v>
      </x:c>
      <x:c r="F352" s="33" t="str">
        <x:v>Applied in project review</x:v>
      </x:c>
      <x:c r="G352" s="43" t="d">
        <x:v>2026-10-18T00:00:00.000Z</x:v>
      </x:c>
    </x:row>
    <x:row r="353" ht="120" customHeight="1">
      <x:c r="A353" s="33" t="str">
        <x:v>R-028</x:v>
      </x:c>
      <x:c r="B353" s="33" t="str">
        <x:v>Review batch</x:v>
      </x:c>
      <x:c r="C353" s="33" t="str">
        <x:v>Revision notes</x:v>
      </x:c>
      <x:c r="D353" s="33" t="str">
        <x:v>Cause, event and impact separated; wording aligned to pandemic onset. Source evidence and controls remain unverified.</x:v>
      </x:c>
      <x:c r="E353" s="33" t="str">
        <x:v>Cause, event and impact separated; wording aligned to pandemic onset. Source evidence and controls remain unverified. Decisions applied: D05; D12–D14. See Decision Log for specific before/after values.</x:v>
      </x:c>
      <x:c r="F353" s="33" t="str">
        <x:v>Applied in project review</x:v>
      </x:c>
      <x:c r="G353" s="43" t="d">
        <x:v>2026-10-18T00:00:00.000Z</x:v>
      </x:c>
    </x:row>
    <x:row r="354" ht="120" customHeight="1">
      <x:c r="A354" s="33" t="str">
        <x:v>R-029</x:v>
      </x:c>
      <x:c r="B354" s="33" t="str">
        <x:v>D13</x:v>
      </x:c>
      <x:c r="C354" s="33" t="str">
        <x:v>Likelihood horizon</x:v>
      </x:c>
      <x:c r="D354" s="33" t="str">
        <x:v>Initial three months</x:v>
      </x:c>
      <x:c r="E354" s="33" t="str">
        <x:v>2020-04-01 to 2020-06-30</x:v>
      </x:c>
      <x:c r="F354" s="33" t="str">
        <x:v>Applied in project review</x:v>
      </x:c>
      <x:c r="G354" s="43" t="d">
        <x:v>2026-10-18T00:00:00.000Z</x:v>
      </x:c>
    </x:row>
    <x:row r="355" ht="120" customHeight="1">
      <x:c r="A355" s="33" t="str">
        <x:v>R-029</x:v>
      </x:c>
      <x:c r="B355" s="33" t="str">
        <x:v>D12</x:v>
      </x:c>
      <x:c r="C355" s="33" t="str">
        <x:v>Existing controls</x:v>
      </x:c>
      <x:c r="D355" s="33" t="str">
        <x:v>Social-media crisis templates and access to legal support are reported.</x:v>
      </x:c>
      <x:c r="E355" s="33" t="str">
        <x:v>Case: communication roles and legal services. Assumption from Sam: social-media crisis templates are available.</x:v>
      </x:c>
      <x:c r="F355" s="33" t="str">
        <x:v>Applied in project review</x:v>
      </x:c>
      <x:c r="G355" s="43" t="d">
        <x:v>2026-10-18T00:00:00.000Z</x:v>
      </x:c>
    </x:row>
    <x:row r="356" ht="120" customHeight="1">
      <x:c r="A356" s="33" t="str">
        <x:v>R-029</x:v>
      </x:c>
      <x:c r="B356" s="33" t="str">
        <x:v>D12</x:v>
      </x:c>
      <x:c r="C356" s="33" t="str">
        <x:v>Control evidence status</x:v>
      </x:c>
      <x:c r="D356" s="33" t="str">
        <x:v>Reported in Sam’s draft; implementation and scope require verification.</x:v>
      </x:c>
      <x:c r="E356" s="33" t="str">
        <x:v>Mixed evidence: case arrangements plus explicit team assumptions; see Evidence and experience.</x:v>
      </x:c>
      <x:c r="F356" s="33" t="str">
        <x:v>Applied in project review</x:v>
      </x:c>
      <x:c r="G356" s="43" t="d">
        <x:v>2026-10-18T00:00:00.000Z</x:v>
      </x:c>
    </x:row>
    <x:row r="357" ht="120" customHeight="1">
      <x:c r="A357" s="33" t="str">
        <x:v>R-029</x:v>
      </x:c>
      <x:c r="B357" s="33" t="str">
        <x:v>D12</x:v>
      </x:c>
      <x:c r="C357" s="33" t="str">
        <x:v>Control effectiveness</x:v>
      </x:c>
      <x:c r="D357" s="33" t="str">
        <x:v>Crisis templates and legal advice do not demonstrate appropriate conduct in individual customer interactions. Communication guidance, training, complaint review and supervisory checks need confirmation.</x:v>
      </x:c>
      <x:c r="E357" s="33" t="str">
        <x:v>Templates and advice may support communication. Accuracy, timely updates and checks across channels are not demonstrated.</x:v>
      </x:c>
      <x:c r="F357" s="33" t="str">
        <x:v>Applied in project review</x:v>
      </x:c>
      <x:c r="G357" s="43" t="d">
        <x:v>2026-10-18T00:00:00.000Z</x:v>
      </x:c>
    </x:row>
    <x:row r="358" ht="120" customHeight="1">
      <x:c r="A358" s="33" t="str">
        <x:v>R-029</x:v>
      </x:c>
      <x:c r="B358" s="33" t="str">
        <x:v>D12; D13</x:v>
      </x:c>
      <x:c r="C358" s="33" t="str">
        <x:v>Evidence and experience</x:v>
      </x:c>
      <x:c r="D358" s="33" t="str">
        <x:v>See Source Records for R-029 and Source Text for the original references. No verified internal incident history or empirical probability estimate is supplied. Historical examples require a scenario-date and relevance check before use.</x:v>
      </x:c>
      <x:c r="E358" s="33" t="str">
        <x:v>Business outline(1).pdf: The case confirms a Marketing Manager, customer-service roles and legal services (pp. 6–7), but not communication templates or approval checks. Team source: Sam’s Existing Controls.docx; original descriptions and examples are preserved by Record ID in Source Records. No internal incident history is verified. Only evidence available by 2020-04-01 can support the initial assessment.</x:v>
      </x:c>
      <x:c r="F358" s="33" t="str">
        <x:v>Applied in project review</x:v>
      </x:c>
      <x:c r="G358" s="43" t="d">
        <x:v>2026-10-18T00:00:00.000Z</x:v>
      </x:c>
    </x:row>
    <x:row r="359" ht="120" customHeight="1">
      <x:c r="A359" s="33" t="str">
        <x:v>R-029</x:v>
      </x:c>
      <x:c r="B359" s="33" t="str">
        <x:v>D12 draft</x:v>
      </x:c>
      <x:c r="C359" s="33" t="str">
        <x:v>Tolerability</x:v>
      </x:c>
      <x:c r="D359" s="33" t="str">
        <x:v>Awaiting assessment</x:v>
      </x:c>
      <x:c r="E359" s="33" t="str">
        <x:v>Not tolerable</x:v>
      </x:c>
      <x:c r="F359" s="33" t="str">
        <x:v>Applied in project review</x:v>
      </x:c>
      <x:c r="G359" s="43" t="d">
        <x:v>2026-10-18T00:00:00.000Z</x:v>
      </x:c>
    </x:row>
    <x:row r="360" ht="120" customHeight="1">
      <x:c r="A360" s="33" t="str">
        <x:v>R-029</x:v>
      </x:c>
      <x:c r="B360" s="33" t="str">
        <x:v>D12 draft</x:v>
      </x:c>
      <x:c r="C360" s="33" t="str">
        <x:v>Tolerability reasoning</x:v>
      </x:c>
      <x:c r="D360" s="33" t="str">
        <x:v>The supplied information does not establish the remaining exposure after controls. Communication guidance, training, complaint review and supervisory checks need confirmation. A tolerability decision must consider the agreed appetite and the need to sustain fair customer treatment.</x:v>
      </x:c>
      <x:c r="E360" s="33" t="str">
        <x:v>Not tolerable for avoidable insensitive treatment causing meaningful harm to vulnerable customers. Workload pressure does not justify conduct inconsistent with fair treatment.</x:v>
      </x:c>
      <x:c r="F360" s="33" t="str">
        <x:v>Applied in project review</x:v>
      </x:c>
      <x:c r="G360" s="43" t="d">
        <x:v>2026-10-18T00:00:00.000Z</x:v>
      </x:c>
    </x:row>
    <x:row r="361" ht="120" customHeight="1">
      <x:c r="A361" s="33" t="str">
        <x:v>R-029</x:v>
      </x:c>
      <x:c r="B361" s="33" t="str">
        <x:v>D14</x:v>
      </x:c>
      <x:c r="C361" s="33" t="str">
        <x:v>Risk owner</x:v>
      </x:c>
      <x:c r="D361" s="33" t="str">
        <x:v>Unassigned</x:v>
      </x:c>
      <x:c r="E361" s="33" t="str">
        <x:v>Customer Service Manager</x:v>
      </x:c>
      <x:c r="F361" s="33" t="str">
        <x:v>Applied in project review</x:v>
      </x:c>
      <x:c r="G361" s="43" t="d">
        <x:v>2026-10-18T00:00:00.000Z</x:v>
      </x:c>
    </x:row>
    <x:row r="362" ht="120" customHeight="1">
      <x:c r="A362" s="33" t="str">
        <x:v>R-029</x:v>
      </x:c>
      <x:c r="B362" s="33" t="str">
        <x:v>D11 / D12</x:v>
      </x:c>
      <x:c r="C362" s="33" t="str">
        <x:v>Assessment status</x:v>
      </x:c>
      <x:c r="D362" s="33" t="str">
        <x:v>Draft for review</x:v>
      </x:c>
      <x:c r="E362" s="33" t="str">
        <x:v>Revised draft for review</x:v>
      </x:c>
      <x:c r="F362" s="33" t="str">
        <x:v>Applied in project review</x:v>
      </x:c>
      <x:c r="G362" s="43" t="d">
        <x:v>2026-10-18T00:00:00.000Z</x:v>
      </x:c>
    </x:row>
    <x:row r="363" ht="120" customHeight="1">
      <x:c r="A363" s="33" t="str">
        <x:v>R-029</x:v>
      </x:c>
      <x:c r="B363" s="33" t="str">
        <x:v>D13</x:v>
      </x:c>
      <x:c r="C363" s="33" t="str">
        <x:v>Longer-term exposure</x:v>
      </x:c>
      <x:c r="D363" s="33" t="str">
        <x:v>Consequences may extend beyond three months; reassess during weekly reviews.</x:v>
      </x:c>
      <x:c r="E363" s="33" t="str">
        <x:v>Consequences may extend beyond three months; reassess during weekly reviews. Initial likelihood horizon ends 2020-06-30; later information belongs to dated reviews.</x:v>
      </x:c>
      <x:c r="F363" s="33" t="str">
        <x:v>Applied in project review</x:v>
      </x:c>
      <x:c r="G363" s="43" t="d">
        <x:v>2026-10-18T00:00:00.000Z</x:v>
      </x:c>
    </x:row>
    <x:row r="364" ht="120" customHeight="1">
      <x:c r="A364" s="33" t="str">
        <x:v>R-029</x:v>
      </x:c>
      <x:c r="B364" s="33" t="str">
        <x:v>Review batch</x:v>
      </x:c>
      <x:c r="C364" s="33" t="str">
        <x:v>Revision notes</x:v>
      </x:c>
      <x:c r="D364" s="33" t="str">
        <x:v>Cause, event and impact separated; wording aligned to pandemic onset. Source evidence and controls remain unverified.</x:v>
      </x:c>
      <x:c r="E364" s="33" t="str">
        <x:v>Cause, event and impact separated; wording aligned to pandemic onset. Source evidence and controls remain unverified. Decisions applied: D11; D12–D14. See Decision Log for specific before/after values.</x:v>
      </x:c>
      <x:c r="F364" s="33" t="str">
        <x:v>Applied in project review</x:v>
      </x:c>
      <x:c r="G364" s="43" t="d">
        <x:v>2026-10-18T00:00:00.000Z</x:v>
      </x:c>
    </x:row>
    <x:row r="365" ht="120" customHeight="1">
      <x:c r="A365" s="33" t="str">
        <x:v>R-030</x:v>
      </x:c>
      <x:c r="B365" s="33" t="str">
        <x:v>D13</x:v>
      </x:c>
      <x:c r="C365" s="33" t="str">
        <x:v>Likelihood horizon</x:v>
      </x:c>
      <x:c r="D365" s="33" t="str">
        <x:v>Initial three months</x:v>
      </x:c>
      <x:c r="E365" s="33" t="str">
        <x:v>2020-04-01 to 2020-06-30</x:v>
      </x:c>
      <x:c r="F365" s="33" t="str">
        <x:v>Applied in project review</x:v>
      </x:c>
      <x:c r="G365" s="43" t="d">
        <x:v>2026-10-18T00:00:00.000Z</x:v>
      </x:c>
    </x:row>
    <x:row r="366" ht="120" customHeight="1">
      <x:c r="A366" s="33" t="str">
        <x:v>R-030</x:v>
      </x:c>
      <x:c r="B366" s="33" t="str">
        <x:v>D12</x:v>
      </x:c>
      <x:c r="C366" s="33" t="str">
        <x:v>Existing controls</x:v>
      </x:c>
      <x:c r="D366" s="33" t="str">
        <x:v>Social-media crisis templates and legal support are reported elsewhere in Sam’s Reputation section; applicability to coverage misinformation is unverified.</x:v>
      </x:c>
      <x:c r="E366" s="33" t="str">
        <x:v>Case: communication roles and legal services. Assumption from Sam: social-media crisis templates are available.</x:v>
      </x:c>
      <x:c r="F366" s="33" t="str">
        <x:v>Applied in project review</x:v>
      </x:c>
      <x:c r="G366" s="43" t="d">
        <x:v>2026-10-18T00:00:00.000Z</x:v>
      </x:c>
    </x:row>
    <x:row r="367" ht="120" customHeight="1">
      <x:c r="A367" s="33" t="str">
        <x:v>R-030</x:v>
      </x:c>
      <x:c r="B367" s="33" t="str">
        <x:v>D12</x:v>
      </x:c>
      <x:c r="C367" s="33" t="str">
        <x:v>Control evidence status</x:v>
      </x:c>
      <x:c r="D367" s="33" t="str">
        <x:v>Reported at category level; risk-specific operation and scope require verification.</x:v>
      </x:c>
      <x:c r="E367" s="33" t="str">
        <x:v>Mixed evidence: case arrangements plus explicit team assumptions; see Evidence and experience.</x:v>
      </x:c>
      <x:c r="F367" s="33" t="str">
        <x:v>Applied in project review</x:v>
      </x:c>
      <x:c r="G367" s="43" t="d">
        <x:v>2026-10-18T00:00:00.000Z</x:v>
      </x:c>
    </x:row>
    <x:row r="368" ht="120" customHeight="1">
      <x:c r="A368" s="33" t="str">
        <x:v>R-030</x:v>
      </x:c>
      <x:c r="B368" s="33" t="str">
        <x:v>D12</x:v>
      </x:c>
      <x:c r="C368" s="33" t="str">
        <x:v>Control effectiveness</x:v>
      </x:c>
      <x:c r="D368" s="33" t="str">
        <x:v>Templates may support consistent communication but do not establish that coverage statements are accurate or misinformation is detected. Crisis templates are reported, but accuracy checks, ownership and misinformation procedures are unverified.</x:v>
      </x:c>
      <x:c r="E368" s="33" t="str">
        <x:v>Templates and advice may support communication. Accuracy, timely updates and checks across channels are not demonstrated.</x:v>
      </x:c>
      <x:c r="F368" s="33" t="str">
        <x:v>Applied in project review</x:v>
      </x:c>
      <x:c r="G368" s="43" t="d">
        <x:v>2026-10-18T00:00:00.000Z</x:v>
      </x:c>
    </x:row>
    <x:row r="369" ht="120" customHeight="1">
      <x:c r="A369" s="33" t="str">
        <x:v>R-030</x:v>
      </x:c>
      <x:c r="B369" s="33" t="str">
        <x:v>D12; D13</x:v>
      </x:c>
      <x:c r="C369" s="33" t="str">
        <x:v>Evidence and experience</x:v>
      </x:c>
      <x:c r="D369" s="33" t="str">
        <x:v>See Source Records for R-030 and Source Text for the original references. No verified internal incident history or empirical probability estimate is supplied. Historical examples require a scenario-date and relevance check before use.</x:v>
      </x:c>
      <x:c r="E369" s="33" t="str">
        <x:v>Business outline(1).pdf: The case confirms a Marketing Manager, customer-service roles and legal services (pp. 6–7), but not communication templates or approval checks. Team source: Sam’s Existing Controls.docx; original descriptions and examples are preserved by Record ID in Source Records. No internal incident history is verified. Only evidence available by 2020-04-01 can support the initial assessment.</x:v>
      </x:c>
      <x:c r="F369" s="33" t="str">
        <x:v>Applied in project review</x:v>
      </x:c>
      <x:c r="G369" s="43" t="d">
        <x:v>2026-10-18T00:00:00.000Z</x:v>
      </x:c>
    </x:row>
    <x:row r="370" ht="120" customHeight="1">
      <x:c r="A370" s="33" t="str">
        <x:v>R-030</x:v>
      </x:c>
      <x:c r="B370" s="33" t="str">
        <x:v>D12 draft</x:v>
      </x:c>
      <x:c r="C370" s="33" t="str">
        <x:v>Tolerability</x:v>
      </x:c>
      <x:c r="D370" s="33" t="str">
        <x:v>Awaiting assessment</x:v>
      </x:c>
      <x:c r="E370" s="33" t="str">
        <x:v>Not tolerable</x:v>
      </x:c>
      <x:c r="F370" s="33" t="str">
        <x:v>Applied in project review</x:v>
      </x:c>
      <x:c r="G370" s="43" t="d">
        <x:v>2026-10-18T00:00:00.000Z</x:v>
      </x:c>
    </x:row>
    <x:row r="371" ht="120" customHeight="1">
      <x:c r="A371" s="33" t="str">
        <x:v>R-030</x:v>
      </x:c>
      <x:c r="B371" s="33" t="str">
        <x:v>D12 draft</x:v>
      </x:c>
      <x:c r="C371" s="33" t="str">
        <x:v>Tolerability reasoning</x:v>
      </x:c>
      <x:c r="D371" s="33" t="str">
        <x:v>The supplied information does not establish the remaining exposure after controls. Crisis templates are reported, but accuracy checks, ownership and misinformation procedures are unverified. A tolerability decision must consider the agreed appetite and the need to sustain accurate information and trust.</x:v>
      </x:c>
      <x:c r="E371" s="33" t="str">
        <x:v>Not tolerable for material coverage misinformation leading customers to make harmful decisions. Templates alone do not demonstrate accuracy and effective correction.</x:v>
      </x:c>
      <x:c r="F371" s="33" t="str">
        <x:v>Applied in project review</x:v>
      </x:c>
      <x:c r="G371" s="43" t="d">
        <x:v>2026-10-18T00:00:00.000Z</x:v>
      </x:c>
    </x:row>
    <x:row r="372" ht="120" customHeight="1">
      <x:c r="A372" s="33" t="str">
        <x:v>R-030</x:v>
      </x:c>
      <x:c r="B372" s="33" t="str">
        <x:v>D14</x:v>
      </x:c>
      <x:c r="C372" s="33" t="str">
        <x:v>Risk owner</x:v>
      </x:c>
      <x:c r="D372" s="33" t="str">
        <x:v>Unassigned</x:v>
      </x:c>
      <x:c r="E372" s="33" t="str">
        <x:v>Underwriting Manager</x:v>
      </x:c>
      <x:c r="F372" s="33" t="str">
        <x:v>Applied in project review</x:v>
      </x:c>
      <x:c r="G372" s="43" t="d">
        <x:v>2026-10-18T00:00:00.000Z</x:v>
      </x:c>
    </x:row>
    <x:row r="373" ht="120" customHeight="1">
      <x:c r="A373" s="33" t="str">
        <x:v>R-030</x:v>
      </x:c>
      <x:c r="B373" s="33" t="str">
        <x:v>D11 / D12</x:v>
      </x:c>
      <x:c r="C373" s="33" t="str">
        <x:v>Assessment status</x:v>
      </x:c>
      <x:c r="D373" s="33" t="str">
        <x:v>Draft for review</x:v>
      </x:c>
      <x:c r="E373" s="33" t="str">
        <x:v>Revised draft for review</x:v>
      </x:c>
      <x:c r="F373" s="33" t="str">
        <x:v>Applied in project review</x:v>
      </x:c>
      <x:c r="G373" s="43" t="d">
        <x:v>2026-10-18T00:00:00.000Z</x:v>
      </x:c>
    </x:row>
    <x:row r="374" ht="120" customHeight="1">
      <x:c r="A374" s="33" t="str">
        <x:v>R-030</x:v>
      </x:c>
      <x:c r="B374" s="33" t="str">
        <x:v>D13</x:v>
      </x:c>
      <x:c r="C374" s="33" t="str">
        <x:v>Longer-term exposure</x:v>
      </x:c>
      <x:c r="D374" s="33" t="str">
        <x:v>Consequences may extend beyond three months; reassess during weekly reviews.</x:v>
      </x:c>
      <x:c r="E374" s="33" t="str">
        <x:v>Consequences may extend beyond three months; reassess during weekly reviews. Initial likelihood horizon ends 2020-06-30; later information belongs to dated reviews.</x:v>
      </x:c>
      <x:c r="F374" s="33" t="str">
        <x:v>Applied in project review</x:v>
      </x:c>
      <x:c r="G374" s="43" t="d">
        <x:v>2026-10-18T00:00:00.000Z</x:v>
      </x:c>
    </x:row>
    <x:row r="375" ht="120" customHeight="1">
      <x:c r="A375" s="33" t="str">
        <x:v>R-030</x:v>
      </x:c>
      <x:c r="B375" s="33" t="str">
        <x:v>Review batch</x:v>
      </x:c>
      <x:c r="C375" s="33" t="str">
        <x:v>Revision notes</x:v>
      </x:c>
      <x:c r="D375" s="33" t="str">
        <x:v>Cause, event and impact separated; wording aligned to pandemic onset. Source evidence and controls remain unverified. Proposed code R2-C-01 to R2-G-01 based on primary cause or index placement. D01: Chris approved the Governance and Processes classification on 2026-10-18 (project review). Scores and other assessments remain provisional.</x:v>
      </x:c>
      <x:c r="E375" s="33" t="str">
        <x:v>Cause, event and impact separated; wording aligned to pandemic onset. Source evidence and controls remain unverified. Proposed code R2-C-01 to R2-G-01 based on primary cause or index placement. D01: Chris approved the Governance and Processes classification on 2026-10-18 (project review). Scores and other assessments remain provisional. Decisions applied: D01; D06; D12–D14. See Decision Log for specific before/after values.</x:v>
      </x:c>
      <x:c r="F375" s="33" t="str">
        <x:v>Applied in project review</x:v>
      </x:c>
      <x:c r="G375" s="43" t="d">
        <x:v>2026-10-18T00:00:00.000Z</x:v>
      </x:c>
    </x:row>
    <x:row r="376" ht="120" customHeight="1">
      <x:c r="A376" s="33" t="str">
        <x:v>R-031</x:v>
      </x:c>
      <x:c r="B376" s="33" t="str">
        <x:v>D13</x:v>
      </x:c>
      <x:c r="C376" s="33" t="str">
        <x:v>Likelihood horizon</x:v>
      </x:c>
      <x:c r="D376" s="33" t="str">
        <x:v>Initial three months</x:v>
      </x:c>
      <x:c r="E376" s="33" t="str">
        <x:v>2020-04-01 to 2020-06-30</x:v>
      </x:c>
      <x:c r="F376" s="33" t="str">
        <x:v>Applied in project review</x:v>
      </x:c>
      <x:c r="G376" s="43" t="d">
        <x:v>2026-10-18T00:00:00.000Z</x:v>
      </x:c>
    </x:row>
    <x:row r="377" ht="120" customHeight="1">
      <x:c r="A377" s="33" t="str">
        <x:v>R-031</x:v>
      </x:c>
      <x:c r="B377" s="33" t="str">
        <x:v>D12</x:v>
      </x:c>
      <x:c r="C377" s="33" t="str">
        <x:v>Existing controls</x:v>
      </x:c>
      <x:c r="D377" s="33" t="str">
        <x:v>No relevant operating control is evidenced in the supplied controls assessment.</x:v>
      </x:c>
      <x:c r="E377" s="33" t="str">
        <x:v>No staff-continuity or wellbeing control is specified in the case. Assessment assumption: Sam’s reported preparation gaps apply at the assessment date.</x:v>
      </x:c>
      <x:c r="F377" s="33" t="str">
        <x:v>Applied in project review</x:v>
      </x:c>
      <x:c r="G377" s="43" t="d">
        <x:v>2026-10-18T00:00:00.000Z</x:v>
      </x:c>
    </x:row>
    <x:row r="378" ht="120" customHeight="1">
      <x:c r="A378" s="33" t="str">
        <x:v>R-031</x:v>
      </x:c>
      <x:c r="B378" s="33" t="str">
        <x:v>D12</x:v>
      </x:c>
      <x:c r="C378" s="33" t="str">
        <x:v>Control evidence status</x:v>
      </x:c>
      <x:c r="D378" s="33" t="str">
        <x:v>Not evidenced in supplied material; absence is not confirmed.</x:v>
      </x:c>
      <x:c r="E378" s="33" t="str">
        <x:v>Mixed evidence: case arrangements plus explicit team assumptions; see Evidence and experience.</x:v>
      </x:c>
      <x:c r="F378" s="33" t="str">
        <x:v>Applied in project review</x:v>
      </x:c>
      <x:c r="G378" s="43" t="d">
        <x:v>2026-10-18T00:00:00.000Z</x:v>
      </x:c>
    </x:row>
    <x:row r="379" ht="120" customHeight="1">
      <x:c r="A379" s="33" t="str">
        <x:v>R-031</x:v>
      </x:c>
      <x:c r="B379" s="33" t="str">
        <x:v>D12</x:v>
      </x:c>
      <x:c r="C379" s="33" t="str">
        <x:v>Control effectiveness</x:v>
      </x:c>
      <x:c r="D379" s="33" t="str">
        <x:v>Effectiveness is not demonstrated. Support availability, workload checks and access to assistance are not evidenced.</x:v>
      </x:c>
      <x:c r="E379" s="33" t="str">
        <x:v>Existing staffing is capacity, not a tested continuity control. Backup coverage and support effectiveness remain unverified.</x:v>
      </x:c>
      <x:c r="F379" s="33" t="str">
        <x:v>Applied in project review</x:v>
      </x:c>
      <x:c r="G379" s="43" t="d">
        <x:v>2026-10-18T00:00:00.000Z</x:v>
      </x:c>
    </x:row>
    <x:row r="380" ht="120" customHeight="1">
      <x:c r="A380" s="33" t="str">
        <x:v>R-031</x:v>
      </x:c>
      <x:c r="B380" s="33" t="str">
        <x:v>D12; D13</x:v>
      </x:c>
      <x:c r="C380" s="33" t="str">
        <x:v>Evidence and experience</x:v>
      </x:c>
      <x:c r="D380" s="33" t="str">
        <x:v>See Source Records for R-031 and Source Text for the original references. No verified internal incident history or empirical probability estimate is supplied. Historical examples require a scenario-date and relevance check before use.</x:v>
      </x:c>
      <x:c r="E380" s="33" t="str">
        <x:v>Business outline(1).pdf: The case confirms a small workforce and functional roles (pp. 6–7), but no trained backup or staff-continuity arrangements. Team source: Sam’s Existing Controls.docx; original descriptions and examples are preserved by Record ID in Source Records. No internal incident history is verified. Only evidence available by 2020-04-01 can support the initial assessment.</x:v>
      </x:c>
      <x:c r="F380" s="33" t="str">
        <x:v>Applied in project review</x:v>
      </x:c>
      <x:c r="G380" s="43" t="d">
        <x:v>2026-10-18T00:00:00.000Z</x:v>
      </x:c>
    </x:row>
    <x:row r="381" ht="120" customHeight="1">
      <x:c r="A381" s="33" t="str">
        <x:v>R-031</x:v>
      </x:c>
      <x:c r="B381" s="33" t="str">
        <x:v>D12 draft</x:v>
      </x:c>
      <x:c r="C381" s="33" t="str">
        <x:v>Tolerability</x:v>
      </x:c>
      <x:c r="D381" s="33" t="str">
        <x:v>Awaiting assessment</x:v>
      </x:c>
      <x:c r="E381" s="33" t="str">
        <x:v>Not tolerable</x:v>
      </x:c>
      <x:c r="F381" s="33" t="str">
        <x:v>Applied in project review</x:v>
      </x:c>
      <x:c r="G381" s="43" t="d">
        <x:v>2026-10-18T00:00:00.000Z</x:v>
      </x:c>
    </x:row>
    <x:row r="382" ht="120" customHeight="1">
      <x:c r="A382" s="33" t="str">
        <x:v>R-031</x:v>
      </x:c>
      <x:c r="B382" s="33" t="str">
        <x:v>D12 draft</x:v>
      </x:c>
      <x:c r="C382" s="33" t="str">
        <x:v>Tolerability reasoning</x:v>
      </x:c>
      <x:c r="D382" s="33" t="str">
        <x:v>The supplied information does not establish the remaining exposure after controls. Support availability, workload checks and access to assistance are not evidenced. A tolerability decision must consider the agreed appetite and the need to sustain employee wellbeing and staffing.</x:v>
      </x:c>
      <x:c r="E382" s="33" t="str">
        <x:v>Not tolerable on the assumption that material employee wellbeing harms persist without adequate support. The need for remote work does not justify leaving this controllable exposure unmanaged.</x:v>
      </x:c>
      <x:c r="F382" s="33" t="str">
        <x:v>Applied in project review</x:v>
      </x:c>
      <x:c r="G382" s="43" t="d">
        <x:v>2026-10-18T00:00:00.000Z</x:v>
      </x:c>
    </x:row>
    <x:row r="383" ht="120" customHeight="1">
      <x:c r="A383" s="33" t="str">
        <x:v>R-031</x:v>
      </x:c>
      <x:c r="B383" s="33" t="str">
        <x:v>D14</x:v>
      </x:c>
      <x:c r="C383" s="33" t="str">
        <x:v>Risk owner</x:v>
      </x:c>
      <x:c r="D383" s="33" t="str">
        <x:v>Unassigned</x:v>
      </x:c>
      <x:c r="E383" s="33" t="str">
        <x:v>Designated HR lead</x:v>
      </x:c>
      <x:c r="F383" s="33" t="str">
        <x:v>Applied in project review</x:v>
      </x:c>
      <x:c r="G383" s="43" t="d">
        <x:v>2026-10-18T00:00:00.000Z</x:v>
      </x:c>
    </x:row>
    <x:row r="384" ht="120" customHeight="1">
      <x:c r="A384" s="33" t="str">
        <x:v>R-031</x:v>
      </x:c>
      <x:c r="B384" s="33" t="str">
        <x:v>D11 / D12</x:v>
      </x:c>
      <x:c r="C384" s="33" t="str">
        <x:v>Assessment status</x:v>
      </x:c>
      <x:c r="D384" s="33" t="str">
        <x:v>Draft for review</x:v>
      </x:c>
      <x:c r="E384" s="33" t="str">
        <x:v>Revised draft for review</x:v>
      </x:c>
      <x:c r="F384" s="33" t="str">
        <x:v>Applied in project review</x:v>
      </x:c>
      <x:c r="G384" s="43" t="d">
        <x:v>2026-10-18T00:00:00.000Z</x:v>
      </x:c>
    </x:row>
    <x:row r="385" ht="120" customHeight="1">
      <x:c r="A385" s="33" t="str">
        <x:v>R-031</x:v>
      </x:c>
      <x:c r="B385" s="33" t="str">
        <x:v>D13</x:v>
      </x:c>
      <x:c r="C385" s="33" t="str">
        <x:v>Longer-term exposure</x:v>
      </x:c>
      <x:c r="D385" s="33" t="str">
        <x:v>Consequences may extend beyond three months; reassess during weekly reviews.</x:v>
      </x:c>
      <x:c r="E385" s="33" t="str">
        <x:v>Consequences may extend beyond three months; reassess during weekly reviews. Initial likelihood horizon ends 2020-06-30; later information belongs to dated reviews.</x:v>
      </x:c>
      <x:c r="F385" s="33" t="str">
        <x:v>Applied in project review</x:v>
      </x:c>
      <x:c r="G385" s="43" t="d">
        <x:v>2026-10-18T00:00:00.000Z</x:v>
      </x:c>
    </x:row>
    <x:row r="386" ht="120" customHeight="1">
      <x:c r="A386" s="33" t="str">
        <x:v>R-031</x:v>
      </x:c>
      <x:c r="B386" s="33" t="str">
        <x:v>Review batch</x:v>
      </x:c>
      <x:c r="C386" s="33" t="str">
        <x:v>Revision notes</x:v>
      </x:c>
      <x:c r="D386" s="33" t="str">
        <x:v>Cause, event and impact separated; wording aligned to pandemic onset. Source evidence and controls remain unverified.</x:v>
      </x:c>
      <x:c r="E386" s="33" t="str">
        <x:v>Cause, event and impact separated; wording aligned to pandemic onset. Source evidence and controls remain unverified. Decisions applied: D11; D12–D14. See Decision Log for specific before/after values.</x:v>
      </x:c>
      <x:c r="F386" s="33" t="str">
        <x:v>Applied in project review</x:v>
      </x:c>
      <x:c r="G386" s="43" t="d">
        <x:v>2026-10-18T00:00:00.000Z</x:v>
      </x:c>
    </x:row>
    <x:row r="387" ht="120" customHeight="1">
      <x:c r="A387" s="33" t="str">
        <x:v>R-032</x:v>
      </x:c>
      <x:c r="B387" s="33" t="str">
        <x:v>D13</x:v>
      </x:c>
      <x:c r="C387" s="33" t="str">
        <x:v>Likelihood horizon</x:v>
      </x:c>
      <x:c r="D387" s="33" t="str">
        <x:v>Initial three months</x:v>
      </x:c>
      <x:c r="E387" s="33" t="str">
        <x:v>2020-04-01 to 2020-06-30</x:v>
      </x:c>
      <x:c r="F387" s="33" t="str">
        <x:v>Applied in project review</x:v>
      </x:c>
      <x:c r="G387" s="43" t="d">
        <x:v>2026-10-18T00:00:00.000Z</x:v>
      </x:c>
    </x:row>
    <x:row r="388" ht="120" customHeight="1">
      <x:c r="A388" s="33" t="str">
        <x:v>R-032</x:v>
      </x:c>
      <x:c r="B388" s="33" t="str">
        <x:v>D12</x:v>
      </x:c>
      <x:c r="C388" s="33" t="str">
        <x:v>Existing controls</x:v>
      </x:c>
      <x:c r="D388" s="33" t="str">
        <x:v>Audit trails, minimum-privilege access and legal support are reported.</x:v>
      </x:c>
      <x:c r="E388" s="33" t="str">
        <x:v>Case: record keeping and database administration. Assumption from Sam: an operational audit trail is maintained.</x:v>
      </x:c>
      <x:c r="F388" s="33" t="str">
        <x:v>Applied in project review</x:v>
      </x:c>
      <x:c r="G388" s="43" t="d">
        <x:v>2026-10-18T00:00:00.000Z</x:v>
      </x:c>
    </x:row>
    <x:row r="389" ht="120" customHeight="1">
      <x:c r="A389" s="33" t="str">
        <x:v>R-032</x:v>
      </x:c>
      <x:c r="B389" s="33" t="str">
        <x:v>D12</x:v>
      </x:c>
      <x:c r="C389" s="33" t="str">
        <x:v>Control evidence status</x:v>
      </x:c>
      <x:c r="D389" s="33" t="str">
        <x:v>Reported in Sam’s draft; implementation and scope require verification.</x:v>
      </x:c>
      <x:c r="E389" s="33" t="str">
        <x:v>Mixed evidence: case arrangements plus explicit team assumptions; see Evidence and experience.</x:v>
      </x:c>
      <x:c r="F389" s="33" t="str">
        <x:v>Applied in project review</x:v>
      </x:c>
      <x:c r="G389" s="43" t="d">
        <x:v>2026-10-18T00:00:00.000Z</x:v>
      </x:c>
    </x:row>
    <x:row r="390" ht="120" customHeight="1">
      <x:c r="A390" s="33" t="str">
        <x:v>R-032</x:v>
      </x:c>
      <x:c r="B390" s="33" t="str">
        <x:v>D12</x:v>
      </x:c>
      <x:c r="C390" s="33" t="str">
        <x:v>Control effectiveness</x:v>
      </x:c>
      <x:c r="D390" s="33" t="str">
        <x:v>Effectiveness is not demonstrated. Audit trails are reported, but prevention, quality checks and error monitoring are unverified.</x:v>
      </x:c>
      <x:c r="E390" s="33" t="str">
        <x:v>Records support detection and investigation. They do not demonstrate preventive approval, fraud detection or counterparty protection.</x:v>
      </x:c>
      <x:c r="F390" s="33" t="str">
        <x:v>Applied in project review</x:v>
      </x:c>
      <x:c r="G390" s="43" t="d">
        <x:v>2026-10-18T00:00:00.000Z</x:v>
      </x:c>
    </x:row>
    <x:row r="391" ht="120" customHeight="1">
      <x:c r="A391" s="33" t="str">
        <x:v>R-032</x:v>
      </x:c>
      <x:c r="B391" s="33" t="str">
        <x:v>D12; D13</x:v>
      </x:c>
      <x:c r="C391" s="33" t="str">
        <x:v>Evidence and experience</x:v>
      </x:c>
      <x:c r="D391" s="33" t="str">
        <x:v>See Source Records for R-032 and Source Text for the original references. No verified internal incident history or empirical probability estimate is supplied. Historical examples require a scenario-date and relevance check before use.</x:v>
      </x:c>
      <x:c r="E391" s="33"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F391" s="33" t="str">
        <x:v>Applied in project review</x:v>
      </x:c>
      <x:c r="G391" s="43" t="d">
        <x:v>2026-10-18T00:00:00.000Z</x:v>
      </x:c>
    </x:row>
    <x:row r="392" ht="120" customHeight="1">
      <x:c r="A392" s="33" t="str">
        <x:v>R-032</x:v>
      </x:c>
      <x:c r="B392" s="33" t="str">
        <x:v>D12 draft</x:v>
      </x:c>
      <x:c r="C392" s="33" t="str">
        <x:v>Tolerability</x:v>
      </x:c>
      <x:c r="D392" s="33" t="str">
        <x:v>Awaiting assessment</x:v>
      </x:c>
      <x:c r="E392" s="33" t="str">
        <x:v>Not tolerable</x:v>
      </x:c>
      <x:c r="F392" s="33" t="str">
        <x:v>Applied in project review</x:v>
      </x:c>
      <x:c r="G392" s="43" t="d">
        <x:v>2026-10-18T00:00:00.000Z</x:v>
      </x:c>
    </x:row>
    <x:row r="393" ht="120" customHeight="1">
      <x:c r="A393" s="33" t="str">
        <x:v>R-032</x:v>
      </x:c>
      <x:c r="B393" s="33" t="str">
        <x:v>D12 draft</x:v>
      </x:c>
      <x:c r="C393" s="33" t="str">
        <x:v>Tolerability reasoning</x:v>
      </x:c>
      <x:c r="D393" s="33" t="str">
        <x:v>The supplied information does not establish the remaining exposure after controls. Audit trails are reported, but prevention, quality checks and error monitoring are unverified. A tolerability decision must consider the agreed appetite and the need to sustain accurate processing and records.</x:v>
      </x:c>
      <x:c r="E393" s="33" t="str">
        <x:v>Not tolerable for material processing and record failures where preventive or quality controls are assumed inadequate. Records after the event do not establish acceptable ongoing accuracy.</x:v>
      </x:c>
      <x:c r="F393" s="33" t="str">
        <x:v>Applied in project review</x:v>
      </x:c>
      <x:c r="G393" s="43" t="d">
        <x:v>2026-10-18T00:00:00.000Z</x:v>
      </x:c>
    </x:row>
    <x:row r="394" ht="120" customHeight="1">
      <x:c r="A394" s="33" t="str">
        <x:v>R-032</x:v>
      </x:c>
      <x:c r="B394" s="33" t="str">
        <x:v>D14</x:v>
      </x:c>
      <x:c r="C394" s="33" t="str">
        <x:v>Risk owner</x:v>
      </x:c>
      <x:c r="D394" s="33" t="str">
        <x:v>Unassigned</x:v>
      </x:c>
      <x:c r="E394" s="33" t="str">
        <x:v>Claims Manager</x:v>
      </x:c>
      <x:c r="F394" s="33" t="str">
        <x:v>Applied in project review</x:v>
      </x:c>
      <x:c r="G394" s="43" t="d">
        <x:v>2026-10-18T00:00:00.000Z</x:v>
      </x:c>
    </x:row>
    <x:row r="395" ht="120" customHeight="1">
      <x:c r="A395" s="33" t="str">
        <x:v>R-032</x:v>
      </x:c>
      <x:c r="B395" s="33" t="str">
        <x:v>D11 / D12</x:v>
      </x:c>
      <x:c r="C395" s="33" t="str">
        <x:v>Assessment status</x:v>
      </x:c>
      <x:c r="D395" s="33" t="str">
        <x:v>Draft for review</x:v>
      </x:c>
      <x:c r="E395" s="33" t="str">
        <x:v>Revised draft for review</x:v>
      </x:c>
      <x:c r="F395" s="33" t="str">
        <x:v>Applied in project review</x:v>
      </x:c>
      <x:c r="G395" s="43" t="d">
        <x:v>2026-10-18T00:00:00.000Z</x:v>
      </x:c>
    </x:row>
    <x:row r="396" ht="120" customHeight="1">
      <x:c r="A396" s="33" t="str">
        <x:v>R-032</x:v>
      </x:c>
      <x:c r="B396" s="33" t="str">
        <x:v>D13</x:v>
      </x:c>
      <x:c r="C396" s="33" t="str">
        <x:v>Longer-term exposure</x:v>
      </x:c>
      <x:c r="D396" s="33" t="str">
        <x:v>Consequences may extend beyond three months; reassess during weekly reviews.</x:v>
      </x:c>
      <x:c r="E396" s="33" t="str">
        <x:v>Consequences may extend beyond three months; reassess during weekly reviews. Initial likelihood horizon ends 2020-06-30; later information belongs to dated reviews.</x:v>
      </x:c>
      <x:c r="F396" s="33" t="str">
        <x:v>Applied in project review</x:v>
      </x:c>
      <x:c r="G396" s="43" t="d">
        <x:v>2026-10-18T00:00:00.000Z</x:v>
      </x:c>
    </x:row>
    <x:row r="397" ht="120" customHeight="1">
      <x:c r="A397" s="33" t="str">
        <x:v>R-032</x:v>
      </x:c>
      <x:c r="B397" s="33" t="str">
        <x:v>Review batch</x:v>
      </x:c>
      <x:c r="C397" s="33" t="str">
        <x:v>Revision notes</x:v>
      </x:c>
      <x:c r="D397" s="33" t="str">
        <x:v>Cause, event and impact separated; wording aligned to pandemic onset. Source evidence and controls remain unverified.</x:v>
      </x:c>
      <x:c r="E397" s="33" t="str">
        <x:v>Cause, event and impact separated; wording aligned to pandemic onset. Source evidence and controls remain unverified. Decisions applied: D11; D12–D14. See Decision Log for specific before/after values.</x:v>
      </x:c>
      <x:c r="F397" s="33" t="str">
        <x:v>Applied in project review</x:v>
      </x:c>
      <x:c r="G397" s="43" t="d">
        <x:v>2026-10-18T00:00:00.000Z</x:v>
      </x:c>
    </x:row>
    <x:row r="398" ht="120" customHeight="1">
      <x:c r="A398" s="33" t="str">
        <x:v>R-033</x:v>
      </x:c>
      <x:c r="B398" s="33" t="str">
        <x:v>D13</x:v>
      </x:c>
      <x:c r="C398" s="33" t="str">
        <x:v>Likelihood horizon</x:v>
      </x:c>
      <x:c r="D398" s="33" t="str">
        <x:v>Initial three months</x:v>
      </x:c>
      <x:c r="E398" s="33" t="str">
        <x:v>2020-04-01 to 2020-06-30</x:v>
      </x:c>
      <x:c r="F398" s="33" t="str">
        <x:v>Applied in project review</x:v>
      </x:c>
      <x:c r="G398" s="43" t="d">
        <x:v>2026-10-18T00:00:00.000Z</x:v>
      </x:c>
    </x:row>
    <x:row r="399" ht="120" customHeight="1">
      <x:c r="A399" s="33" t="str">
        <x:v>R-033</x:v>
      </x:c>
      <x:c r="B399" s="33" t="str">
        <x:v>D12</x:v>
      </x:c>
      <x:c r="C399" s="33" t="str">
        <x:v>Existing controls</x:v>
      </x:c>
      <x:c r="D399" s="33" t="str">
        <x:v>Audit trails, minimum-privilege access and legal support are reported.</x:v>
      </x:c>
      <x:c r="E399" s="33" t="str">
        <x:v>Case: third-party cloud backup, hosting and security advice. Assumption from Sam: firewalls, email scanning and minimum-privilege access operate as basic office safeguards.</x:v>
      </x:c>
      <x:c r="F399" s="33" t="str">
        <x:v>Applied in project review</x:v>
      </x:c>
      <x:c r="G399" s="43" t="d">
        <x:v>2026-10-18T00:00:00.000Z</x:v>
      </x:c>
    </x:row>
    <x:row r="400" ht="120" customHeight="1">
      <x:c r="A400" s="33" t="str">
        <x:v>R-033</x:v>
      </x:c>
      <x:c r="B400" s="33" t="str">
        <x:v>D12</x:v>
      </x:c>
      <x:c r="C400" s="33" t="str">
        <x:v>Control evidence status</x:v>
      </x:c>
      <x:c r="D400" s="33" t="str">
        <x:v>Reported in Sam’s draft; implementation and scope require verification.</x:v>
      </x:c>
      <x:c r="E400" s="33" t="str">
        <x:v>Mixed evidence: case arrangements plus explicit team assumptions; see Evidence and experience.</x:v>
      </x:c>
      <x:c r="F400" s="33" t="str">
        <x:v>Applied in project review</x:v>
      </x:c>
      <x:c r="G400" s="43" t="d">
        <x:v>2026-10-18T00:00:00.000Z</x:v>
      </x:c>
    </x:row>
    <x:row r="401" ht="120" customHeight="1">
      <x:c r="A401" s="33" t="str">
        <x:v>R-033</x:v>
      </x:c>
      <x:c r="B401" s="33" t="str">
        <x:v>D12</x:v>
      </x:c>
      <x:c r="C401" s="33" t="str">
        <x:v>Control effectiveness</x:v>
      </x:c>
      <x:c r="D401" s="33" t="str">
        <x:v>Effectiveness is not demonstrated. Access restrictions and legal advice are reported; coverage, testing and incident procedures need verification.</x:v>
      </x:c>
      <x:c r="E401" s="33" t="str">
        <x:v>Basic safeguards may reduce exposure. Their remote-work coverage, integrity protection, monitoring and restoration performance are unverified.</x:v>
      </x:c>
      <x:c r="F401" s="33" t="str">
        <x:v>Applied in project review</x:v>
      </x:c>
      <x:c r="G401" s="43" t="d">
        <x:v>2026-10-18T00:00:00.000Z</x:v>
      </x:c>
    </x:row>
    <x:row r="402" ht="120" customHeight="1">
      <x:c r="A402" s="33" t="str">
        <x:v>R-033</x:v>
      </x:c>
      <x:c r="B402" s="33" t="str">
        <x:v>D12; D13</x:v>
      </x:c>
      <x:c r="C402" s="33" t="str">
        <x:v>Evidence and experience</x:v>
      </x:c>
      <x:c r="D402" s="33" t="str">
        <x:v>See Source Records for R-033 and Source Text for the original references. No verified internal incident history or empirical probability estimate is supplied. Historical examples require a scenario-date and relevance check before use.</x:v>
      </x:c>
      <x:c r="E402"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402" s="33" t="str">
        <x:v>Applied in project review</x:v>
      </x:c>
      <x:c r="G402" s="43" t="d">
        <x:v>2026-10-18T00:00:00.000Z</x:v>
      </x:c>
    </x:row>
    <x:row r="403" ht="120" customHeight="1">
      <x:c r="A403" s="33" t="str">
        <x:v>R-033</x:v>
      </x:c>
      <x:c r="B403" s="33" t="str">
        <x:v>D12 draft</x:v>
      </x:c>
      <x:c r="C403" s="33" t="str">
        <x:v>Tolerability</x:v>
      </x:c>
      <x:c r="D403" s="33" t="str">
        <x:v>Awaiting assessment</x:v>
      </x:c>
      <x:c r="E403" s="33" t="str">
        <x:v>Not tolerable</x:v>
      </x:c>
      <x:c r="F403" s="33" t="str">
        <x:v>Applied in project review</x:v>
      </x:c>
      <x:c r="G403" s="43" t="d">
        <x:v>2026-10-18T00:00:00.000Z</x:v>
      </x:c>
    </x:row>
    <x:row r="404" ht="120" customHeight="1">
      <x:c r="A404" s="33" t="str">
        <x:v>R-033</x:v>
      </x:c>
      <x:c r="B404" s="33" t="str">
        <x:v>D12 draft</x:v>
      </x:c>
      <x:c r="C404" s="33" t="str">
        <x:v>Tolerability reasoning</x:v>
      </x:c>
      <x:c r="D404" s="33" t="str">
        <x:v>The supplied information does not establish the remaining exposure after controls. Access restrictions and legal advice are reported; coverage, testing and incident procedures need verification. A tolerability decision must consider the agreed appetite and the need to sustain customer information and trust.</x:v>
      </x:c>
      <x:c r="E404" s="33" t="str">
        <x:v>Not tolerable for the defined widespread serious-harm disclosure scenario on assumed inadequate safeguards. This conclusion concerns the scenario’s consequences and control gaps, not all minor information incidents.</x:v>
      </x:c>
      <x:c r="F404" s="33" t="str">
        <x:v>Applied in project review</x:v>
      </x:c>
      <x:c r="G404" s="43" t="d">
        <x:v>2026-10-18T00:00:00.000Z</x:v>
      </x:c>
    </x:row>
    <x:row r="405" ht="120" customHeight="1">
      <x:c r="A405" s="33" t="str">
        <x:v>R-033</x:v>
      </x:c>
      <x:c r="B405" s="33" t="str">
        <x:v>D14</x:v>
      </x:c>
      <x:c r="C405" s="33" t="str">
        <x:v>Risk owner</x:v>
      </x:c>
      <x:c r="D405" s="33" t="str">
        <x:v>Unassigned</x:v>
      </x:c>
      <x:c r="E405" s="33" t="str">
        <x:v>Network Manager</x:v>
      </x:c>
      <x:c r="F405" s="33" t="str">
        <x:v>Applied in project review</x:v>
      </x:c>
      <x:c r="G405" s="43" t="d">
        <x:v>2026-10-18T00:00:00.000Z</x:v>
      </x:c>
    </x:row>
    <x:row r="406" ht="120" customHeight="1">
      <x:c r="A406" s="33" t="str">
        <x:v>R-033</x:v>
      </x:c>
      <x:c r="B406" s="33" t="str">
        <x:v>D11 / D12</x:v>
      </x:c>
      <x:c r="C406" s="33" t="str">
        <x:v>Assessment status</x:v>
      </x:c>
      <x:c r="D406" s="33" t="str">
        <x:v>Draft for review</x:v>
      </x:c>
      <x:c r="E406" s="33" t="str">
        <x:v>Revised draft for review</x:v>
      </x:c>
      <x:c r="F406" s="33" t="str">
        <x:v>Applied in project review</x:v>
      </x:c>
      <x:c r="G406" s="43" t="d">
        <x:v>2026-10-18T00:00:00.000Z</x:v>
      </x:c>
    </x:row>
    <x:row r="407" ht="120" customHeight="1">
      <x:c r="A407" s="33" t="str">
        <x:v>R-033</x:v>
      </x:c>
      <x:c r="B407" s="33" t="str">
        <x:v>D13</x:v>
      </x:c>
      <x:c r="C407" s="33" t="str">
        <x:v>Longer-term exposure</x:v>
      </x:c>
      <x:c r="D407" s="33" t="str">
        <x:v>Consequences may extend beyond three months; reassess during weekly reviews.</x:v>
      </x:c>
      <x:c r="E407" s="33" t="str">
        <x:v>Consequences may extend beyond three months; reassess during weekly reviews. Initial likelihood horizon ends 2020-06-30; later information belongs to dated reviews.</x:v>
      </x:c>
      <x:c r="F407" s="33" t="str">
        <x:v>Applied in project review</x:v>
      </x:c>
      <x:c r="G407" s="43" t="d">
        <x:v>2026-10-18T00:00:00.000Z</x:v>
      </x:c>
    </x:row>
    <x:row r="408" ht="120" customHeight="1">
      <x:c r="A408" s="33" t="str">
        <x:v>R-033</x:v>
      </x:c>
      <x:c r="B408" s="33" t="str">
        <x:v>Review batch</x:v>
      </x:c>
      <x:c r="C408" s="33" t="str">
        <x:v>Revision notes</x:v>
      </x:c>
      <x:c r="D408" s="33" t="str">
        <x:v>Cause, event and impact separated; wording aligned to pandemic onset. Source evidence and controls remain unverified.</x:v>
      </x:c>
      <x:c r="E408" s="33" t="str">
        <x:v>Cause, event and impact separated; wording aligned to pandemic onset. Source evidence and controls remain unverified. Decisions applied: D03; D10; D11; D12–D14. See Decision Log for specific before/after values.</x:v>
      </x:c>
      <x:c r="F408" s="33" t="str">
        <x:v>Applied in project review</x:v>
      </x:c>
      <x:c r="G408" s="43" t="d">
        <x:v>2026-10-18T00:00:00.000Z</x:v>
      </x:c>
    </x:row>
    <x:row r="409" ht="120" customHeight="1">
      <x:c r="A409" s="33" t="str">
        <x:v>R-034</x:v>
      </x:c>
      <x:c r="B409" s="33" t="str">
        <x:v>D13</x:v>
      </x:c>
      <x:c r="C409" s="33" t="str">
        <x:v>Likelihood horizon</x:v>
      </x:c>
      <x:c r="D409" s="33" t="str">
        <x:v>Initial three months</x:v>
      </x:c>
      <x:c r="E409" s="33" t="str">
        <x:v>2020-04-01 to 2020-06-30</x:v>
      </x:c>
      <x:c r="F409" s="33" t="str">
        <x:v>Applied in project review</x:v>
      </x:c>
      <x:c r="G409" s="43" t="d">
        <x:v>2026-10-18T00:00:00.000Z</x:v>
      </x:c>
    </x:row>
    <x:row r="410" ht="120" customHeight="1">
      <x:c r="A410" s="33" t="str">
        <x:v>R-034</x:v>
      </x:c>
      <x:c r="B410" s="33" t="str">
        <x:v>D12</x:v>
      </x:c>
      <x:c r="C410" s="33" t="str">
        <x:v>Existing controls</x:v>
      </x:c>
      <x:c r="D410" s="33" t="str">
        <x:v>Audit trails, minimum-privilege access and legal support are reported.</x:v>
      </x:c>
      <x:c r="E410" s="33" t="str">
        <x:v>Case: record keeping and database administration. Assumption from Sam: an operational audit trail is maintained.</x:v>
      </x:c>
      <x:c r="F410" s="33" t="str">
        <x:v>Applied in project review</x:v>
      </x:c>
      <x:c r="G410" s="43" t="d">
        <x:v>2026-10-18T00:00:00.000Z</x:v>
      </x:c>
    </x:row>
    <x:row r="411" ht="120" customHeight="1">
      <x:c r="A411" s="33" t="str">
        <x:v>R-034</x:v>
      </x:c>
      <x:c r="B411" s="33" t="str">
        <x:v>D12</x:v>
      </x:c>
      <x:c r="C411" s="33" t="str">
        <x:v>Control evidence status</x:v>
      </x:c>
      <x:c r="D411" s="33" t="str">
        <x:v>Reported in Sam’s draft; implementation and scope require verification.</x:v>
      </x:c>
      <x:c r="E411" s="33" t="str">
        <x:v>Mixed evidence: case arrangements plus explicit team assumptions; see Evidence and experience.</x:v>
      </x:c>
      <x:c r="F411" s="33" t="str">
        <x:v>Applied in project review</x:v>
      </x:c>
      <x:c r="G411" s="43" t="d">
        <x:v>2026-10-18T00:00:00.000Z</x:v>
      </x:c>
    </x:row>
    <x:row r="412" ht="120" customHeight="1">
      <x:c r="A412" s="33" t="str">
        <x:v>R-034</x:v>
      </x:c>
      <x:c r="B412" s="33" t="str">
        <x:v>D12</x:v>
      </x:c>
      <x:c r="C412" s="33" t="str">
        <x:v>Control effectiveness</x:v>
      </x:c>
      <x:c r="D412" s="33" t="str">
        <x:v>Effectiveness is not demonstrated. Requirement mapping, legal review scope and compliance ownership need confirmation.</x:v>
      </x:c>
      <x:c r="E412" s="33" t="str">
        <x:v>Records support detection and investigation. They do not demonstrate preventive approval, fraud detection or counterparty protection.</x:v>
      </x:c>
      <x:c r="F412" s="33" t="str">
        <x:v>Applied in project review</x:v>
      </x:c>
      <x:c r="G412" s="43" t="d">
        <x:v>2026-10-18T00:00:00.000Z</x:v>
      </x:c>
    </x:row>
    <x:row r="413" ht="120" customHeight="1">
      <x:c r="A413" s="33" t="str">
        <x:v>R-034</x:v>
      </x:c>
      <x:c r="B413" s="33" t="str">
        <x:v>D12; D13</x:v>
      </x:c>
      <x:c r="C413" s="33" t="str">
        <x:v>Evidence and experience</x:v>
      </x:c>
      <x:c r="D413" s="33" t="str">
        <x:v>See Source Records for R-034 and Source Text for the original references. No verified internal incident history or empirical probability estimate is supplied. Historical examples require a scenario-date and relevance check before use.</x:v>
      </x:c>
      <x:c r="E413" s="33" t="str">
        <x:v>Business outline(1).pdf: The case confirms record keeping and database administration (p. 6), but not an effective transaction audit trail or approval process. Team source: Sam’s Existing Controls.docx; original descriptions and examples are preserved by Record ID in Source Records. No internal incident history is verified. Only evidence available by 2020-04-01 can support the initial assessment.</x:v>
      </x:c>
      <x:c r="F413" s="33" t="str">
        <x:v>Applied in project review</x:v>
      </x:c>
      <x:c r="G413" s="43" t="d">
        <x:v>2026-10-18T00:00:00.000Z</x:v>
      </x:c>
    </x:row>
    <x:row r="414" ht="120" customHeight="1">
      <x:c r="A414" s="33" t="str">
        <x:v>R-034</x:v>
      </x:c>
      <x:c r="B414" s="33" t="str">
        <x:v>D12 draft</x:v>
      </x:c>
      <x:c r="C414" s="33" t="str">
        <x:v>Tolerability</x:v>
      </x:c>
      <x:c r="D414" s="33" t="str">
        <x:v>Awaiting assessment</x:v>
      </x:c>
      <x:c r="E414" s="33" t="str">
        <x:v>Not tolerable</x:v>
      </x:c>
      <x:c r="F414" s="33" t="str">
        <x:v>Applied in project review</x:v>
      </x:c>
      <x:c r="G414" s="43" t="d">
        <x:v>2026-10-18T00:00:00.000Z</x:v>
      </x:c>
    </x:row>
    <x:row r="415" ht="120" customHeight="1">
      <x:c r="A415" s="33" t="str">
        <x:v>R-034</x:v>
      </x:c>
      <x:c r="B415" s="33" t="str">
        <x:v>D12 draft</x:v>
      </x:c>
      <x:c r="C415" s="33" t="str">
        <x:v>Tolerability reasoning</x:v>
      </x:c>
      <x:c r="D415" s="33" t="str">
        <x:v>The supplied information does not establish the remaining exposure after controls. Requirement mapping, legal review scope and compliance ownership need confirmation. A tolerability decision must consider the agreed appetite and the need to sustain compliance knowledge and accountability.</x:v>
      </x:c>
      <x:c r="E415" s="33" t="str">
        <x:v>Not tolerable if applicable material obligations remain unidentified. Legal services provide a resource but do not establish a complete and effective requirements assessment.</x:v>
      </x:c>
      <x:c r="F415" s="33" t="str">
        <x:v>Applied in project review</x:v>
      </x:c>
      <x:c r="G415" s="43" t="d">
        <x:v>2026-10-18T00:00:00.000Z</x:v>
      </x:c>
    </x:row>
    <x:row r="416" ht="120" customHeight="1">
      <x:c r="A416" s="33" t="str">
        <x:v>R-034</x:v>
      </x:c>
      <x:c r="B416" s="33" t="str">
        <x:v>D14</x:v>
      </x:c>
      <x:c r="C416" s="33" t="str">
        <x:v>Risk owner</x:v>
      </x:c>
      <x:c r="D416" s="33" t="str">
        <x:v>Unassigned</x:v>
      </x:c>
      <x:c r="E416" s="33" t="str">
        <x:v>Designated Executive Director</x:v>
      </x:c>
      <x:c r="F416" s="33" t="str">
        <x:v>Applied in project review</x:v>
      </x:c>
      <x:c r="G416" s="43" t="d">
        <x:v>2026-10-18T00:00:00.000Z</x:v>
      </x:c>
    </x:row>
    <x:row r="417" ht="120" customHeight="1">
      <x:c r="A417" s="33" t="str">
        <x:v>R-034</x:v>
      </x:c>
      <x:c r="B417" s="33" t="str">
        <x:v>D11 / D12</x:v>
      </x:c>
      <x:c r="C417" s="33" t="str">
        <x:v>Assessment status</x:v>
      </x:c>
      <x:c r="D417" s="33" t="str">
        <x:v>Draft for review</x:v>
      </x:c>
      <x:c r="E417" s="33" t="str">
        <x:v>Revised draft for review</x:v>
      </x:c>
      <x:c r="F417" s="33" t="str">
        <x:v>Applied in project review</x:v>
      </x:c>
      <x:c r="G417" s="43" t="d">
        <x:v>2026-10-18T00:00:00.000Z</x:v>
      </x:c>
    </x:row>
    <x:row r="418" ht="120" customHeight="1">
      <x:c r="A418" s="33" t="str">
        <x:v>R-034</x:v>
      </x:c>
      <x:c r="B418" s="33" t="str">
        <x:v>D13</x:v>
      </x:c>
      <x:c r="C418" s="33" t="str">
        <x:v>Longer-term exposure</x:v>
      </x:c>
      <x:c r="D418" s="33" t="str">
        <x:v>Consequences may extend beyond three months; reassess during weekly reviews.</x:v>
      </x:c>
      <x:c r="E418" s="33" t="str">
        <x:v>Consequences may extend beyond three months; reassess during weekly reviews. Initial likelihood horizon ends 2020-06-30; later information belongs to dated reviews.</x:v>
      </x:c>
      <x:c r="F418" s="33" t="str">
        <x:v>Applied in project review</x:v>
      </x:c>
      <x:c r="G418" s="43" t="d">
        <x:v>2026-10-18T00:00:00.000Z</x:v>
      </x:c>
    </x:row>
    <x:row r="419" ht="120" customHeight="1">
      <x:c r="A419" s="33" t="str">
        <x:v>R-034</x:v>
      </x:c>
      <x:c r="B419" s="33" t="str">
        <x:v>Review batch</x:v>
      </x:c>
      <x:c r="C419" s="33" t="str">
        <x:v>Revision notes</x:v>
      </x:c>
      <x:c r="D419" s="33" t="str">
        <x:v>Cause, event and impact separated; wording aligned to pandemic onset. Source evidence and controls remain unverified. Proposed code R3-C-01 to R3-G-01 based on primary cause or index placement. D01: Chris approved the Governance and Processes classification on 2026-10-18 (project review). Scores and other assessments remain provisional.</x:v>
      </x:c>
      <x:c r="E419" s="33" t="str">
        <x:v>Cause, event and impact separated; wording aligned to pandemic onset. Source evidence and controls remain unverified. Proposed code R3-C-01 to R3-G-01 based on primary cause or index placement. D01: Chris approved the Governance and Processes classification on 2026-10-18 (project review). Scores and other assessments remain provisional. Decisions applied: D01; D12–D14. See Decision Log for specific before/after values.</x:v>
      </x:c>
      <x:c r="F419" s="33" t="str">
        <x:v>Applied in project review</x:v>
      </x:c>
      <x:c r="G419" s="43" t="d">
        <x:v>2026-10-18T00:00:00.000Z</x:v>
      </x:c>
    </x:row>
    <x:row r="420" ht="120" customHeight="1">
      <x:c r="A420" s="33" t="str">
        <x:v>R-035</x:v>
      </x:c>
      <x:c r="B420" s="33" t="str">
        <x:v>D13</x:v>
      </x:c>
      <x:c r="C420" s="33" t="str">
        <x:v>Likelihood horizon</x:v>
      </x:c>
      <x:c r="D420" s="33" t="str">
        <x:v>Initial three months</x:v>
      </x:c>
      <x:c r="E420" s="33" t="str">
        <x:v>2020-04-01 to 2020-06-30</x:v>
      </x:c>
      <x:c r="F420" s="33" t="str">
        <x:v>Applied in project review</x:v>
      </x:c>
      <x:c r="G420" s="43" t="d">
        <x:v>2026-10-18T00:00:00.000Z</x:v>
      </x:c>
    </x:row>
    <x:row r="421" ht="120" customHeight="1">
      <x:c r="A421" s="33" t="str">
        <x:v>R-035</x:v>
      </x:c>
      <x:c r="B421" s="33" t="str">
        <x:v>D12</x:v>
      </x:c>
      <x:c r="C421" s="33" t="str">
        <x:v>Existing controls</x:v>
      </x:c>
      <x:c r="D421" s="33" t="str">
        <x:v>A customer incentive fund is reported; it does not prevent service failure.</x:v>
      </x:c>
      <x:c r="E421" s="33" t="str">
        <x:v>Case: customer-service roles and digital service channels. Assumption from Sam: a customer incentive fund is available.</x:v>
      </x:c>
      <x:c r="F421" s="33" t="str">
        <x:v>Applied in project review</x:v>
      </x:c>
      <x:c r="G421" s="43" t="d">
        <x:v>2026-10-18T00:00:00.000Z</x:v>
      </x:c>
    </x:row>
    <x:row r="422" ht="120" customHeight="1">
      <x:c r="A422" s="33" t="str">
        <x:v>R-035</x:v>
      </x:c>
      <x:c r="B422" s="33" t="str">
        <x:v>D12</x:v>
      </x:c>
      <x:c r="C422" s="33" t="str">
        <x:v>Control evidence status</x:v>
      </x:c>
      <x:c r="D422" s="33" t="str">
        <x:v>Reported in Sam’s draft; implementation and scope require verification.</x:v>
      </x:c>
      <x:c r="E422" s="33" t="str">
        <x:v>Mixed evidence: case arrangements plus explicit team assumptions; see Evidence and experience.</x:v>
      </x:c>
      <x:c r="F422" s="33" t="str">
        <x:v>Applied in project review</x:v>
      </x:c>
      <x:c r="G422" s="43" t="d">
        <x:v>2026-10-18T00:00:00.000Z</x:v>
      </x:c>
    </x:row>
    <x:row r="423" ht="120" customHeight="1">
      <x:c r="A423" s="33" t="str">
        <x:v>R-035</x:v>
      </x:c>
      <x:c r="B423" s="33" t="str">
        <x:v>D12</x:v>
      </x:c>
      <x:c r="C423" s="33" t="str">
        <x:v>Control effectiveness</x:v>
      </x:c>
      <x:c r="D423" s="33" t="str">
        <x:v>Customer incentives may support recovery after a service failure; they do not establish prevention. Service coverage, queue monitoring and minimum staffing arrangements need verification.</x:v>
      </x:c>
      <x:c r="E423" s="33" t="str">
        <x:v>Incentives can assist recovery after a failure but do not prevent workload or staffing disruption.</x:v>
      </x:c>
      <x:c r="F423" s="33" t="str">
        <x:v>Applied in project review</x:v>
      </x:c>
      <x:c r="G423" s="43" t="d">
        <x:v>2026-10-18T00:00:00.000Z</x:v>
      </x:c>
    </x:row>
    <x:row r="424" ht="120" customHeight="1">
      <x:c r="A424" s="33" t="str">
        <x:v>R-035</x:v>
      </x:c>
      <x:c r="B424" s="33" t="str">
        <x:v>D12; D13</x:v>
      </x:c>
      <x:c r="C424" s="33" t="str">
        <x:v>Evidence and experience</x:v>
      </x:c>
      <x:c r="D424" s="33" t="str">
        <x:v>See Source Records for R-035 and Source Text for the original references. No verified internal incident history or empirical probability estimate is supplied. Historical examples require a scenario-date and relevance check before use.</x:v>
      </x:c>
      <x:c r="E424" s="33" t="str">
        <x:v>Business outline(1).pdf: The case confirms a small workforce and functional roles (pp. 6–7), but no trained backup or staff-continuity arrangements.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424" s="33" t="str">
        <x:v>Applied in project review</x:v>
      </x:c>
      <x:c r="G424" s="43" t="d">
        <x:v>2026-10-18T00:00:00.000Z</x:v>
      </x:c>
    </x:row>
    <x:row r="425" ht="120" customHeight="1">
      <x:c r="A425" s="33" t="str">
        <x:v>R-035</x:v>
      </x:c>
      <x:c r="B425" s="33" t="str">
        <x:v>D12 draft</x:v>
      </x:c>
      <x:c r="C425" s="33" t="str">
        <x:v>Tolerability</x:v>
      </x:c>
      <x:c r="D425" s="33" t="str">
        <x:v>Awaiting assessment</x:v>
      </x:c>
      <x:c r="E425" s="33" t="str">
        <x:v>Not tolerable</x:v>
      </x:c>
      <x:c r="F425" s="33" t="str">
        <x:v>Applied in project review</x:v>
      </x:c>
      <x:c r="G425" s="43" t="d">
        <x:v>2026-10-18T00:00:00.000Z</x:v>
      </x:c>
    </x:row>
    <x:row r="426" ht="120" customHeight="1">
      <x:c r="A426" s="33" t="str">
        <x:v>R-035</x:v>
      </x:c>
      <x:c r="B426" s="33" t="str">
        <x:v>D12 draft</x:v>
      </x:c>
      <x:c r="C426" s="33" t="str">
        <x:v>Tolerability reasoning</x:v>
      </x:c>
      <x:c r="D426" s="33" t="str">
        <x:v>The supplied information does not establish the remaining exposure after controls. Service coverage, queue monitoring and minimum staffing arrangements need verification. A tolerability decision must consider the agreed appetite and the need to sustain customer service staffing.</x:v>
      </x:c>
      <x:c r="E426" s="33" t="str">
        <x:v>Not tolerable on the assumed inability to cover essential customer-service roles at normal demand. Minor delays within accepted limits would be assessed differently.</x:v>
      </x:c>
      <x:c r="F426" s="33" t="str">
        <x:v>Applied in project review</x:v>
      </x:c>
      <x:c r="G426" s="43" t="d">
        <x:v>2026-10-18T00:00:00.000Z</x:v>
      </x:c>
    </x:row>
    <x:row r="427" ht="120" customHeight="1">
      <x:c r="A427" s="33" t="str">
        <x:v>R-035</x:v>
      </x:c>
      <x:c r="B427" s="33" t="str">
        <x:v>D14</x:v>
      </x:c>
      <x:c r="C427" s="33" t="str">
        <x:v>Risk owner</x:v>
      </x:c>
      <x:c r="D427" s="33" t="str">
        <x:v>Unassigned</x:v>
      </x:c>
      <x:c r="E427" s="33" t="str">
        <x:v>Customer Service Manager</x:v>
      </x:c>
      <x:c r="F427" s="33" t="str">
        <x:v>Applied in project review</x:v>
      </x:c>
      <x:c r="G427" s="43" t="d">
        <x:v>2026-10-18T00:00:00.000Z</x:v>
      </x:c>
    </x:row>
    <x:row r="428" ht="120" customHeight="1">
      <x:c r="A428" s="33" t="str">
        <x:v>R-035</x:v>
      </x:c>
      <x:c r="B428" s="33" t="str">
        <x:v>D11 / D12</x:v>
      </x:c>
      <x:c r="C428" s="33" t="str">
        <x:v>Assessment status</x:v>
      </x:c>
      <x:c r="D428" s="33" t="str">
        <x:v>Draft for review</x:v>
      </x:c>
      <x:c r="E428" s="33" t="str">
        <x:v>Revised draft for review</x:v>
      </x:c>
      <x:c r="F428" s="33" t="str">
        <x:v>Applied in project review</x:v>
      </x:c>
      <x:c r="G428" s="43" t="d">
        <x:v>2026-10-18T00:00:00.000Z</x:v>
      </x:c>
    </x:row>
    <x:row r="429" ht="120" customHeight="1">
      <x:c r="A429" s="33" t="str">
        <x:v>R-035</x:v>
      </x:c>
      <x:c r="B429" s="33" t="str">
        <x:v>D13</x:v>
      </x:c>
      <x:c r="C429" s="33" t="str">
        <x:v>Longer-term exposure</x:v>
      </x:c>
      <x:c r="D429" s="33" t="str">
        <x:v>Consequences may extend beyond three months; reassess during weekly reviews.</x:v>
      </x:c>
      <x:c r="E429" s="33" t="str">
        <x:v>Consequences may extend beyond three months; reassess during weekly reviews. Initial likelihood horizon ends 2020-06-30; later information belongs to dated reviews.</x:v>
      </x:c>
      <x:c r="F429" s="33" t="str">
        <x:v>Applied in project review</x:v>
      </x:c>
      <x:c r="G429" s="43" t="d">
        <x:v>2026-10-18T00:00:00.000Z</x:v>
      </x:c>
    </x:row>
    <x:row r="430" ht="120" customHeight="1">
      <x:c r="A430" s="33" t="str">
        <x:v>R-035</x:v>
      </x:c>
      <x:c r="B430" s="33" t="str">
        <x:v>Review batch</x:v>
      </x:c>
      <x:c r="C430" s="33" t="str">
        <x:v>Revision notes</x:v>
      </x:c>
      <x:c r="D430" s="33" t="str">
        <x:v>Cause, event and impact separated; wording aligned to pandemic onset. Source evidence and controls remain unverified.</x:v>
      </x:c>
      <x:c r="E430" s="33" t="str">
        <x:v>Cause, event and impact separated; wording aligned to pandemic onset. Source evidence and controls remain unverified. Decisions applied: D05; D12–D14. See Decision Log for specific before/after values.</x:v>
      </x:c>
      <x:c r="F430" s="33" t="str">
        <x:v>Applied in project review</x:v>
      </x:c>
      <x:c r="G430" s="43" t="d">
        <x:v>2026-10-18T00:00:00.000Z</x:v>
      </x:c>
    </x:row>
    <x:row r="431" ht="120" customHeight="1">
      <x:c r="A431" s="33" t="str">
        <x:v>R-036</x:v>
      </x:c>
      <x:c r="B431" s="33" t="str">
        <x:v>D13</x:v>
      </x:c>
      <x:c r="C431" s="33" t="str">
        <x:v>Likelihood horizon</x:v>
      </x:c>
      <x:c r="D431" s="33" t="str">
        <x:v>Initial three months</x:v>
      </x:c>
      <x:c r="E431" s="33" t="str">
        <x:v>2020-04-01 to 2020-06-30</x:v>
      </x:c>
      <x:c r="F431" s="33" t="str">
        <x:v>Applied in project review</x:v>
      </x:c>
      <x:c r="G431" s="43" t="d">
        <x:v>2026-10-18T00:00:00.000Z</x:v>
      </x:c>
    </x:row>
    <x:row r="432" ht="120" customHeight="1">
      <x:c r="A432" s="33" t="str">
        <x:v>R-036</x:v>
      </x:c>
      <x:c r="B432" s="33" t="str">
        <x:v>D12</x:v>
      </x:c>
      <x:c r="C432" s="33" t="str">
        <x:v>Existing controls</x:v>
      </x:c>
      <x:c r="D432" s="33" t="str">
        <x:v>A customer incentive fund is reported; it does not prevent service failure.</x:v>
      </x:c>
      <x:c r="E432" s="33" t="str">
        <x:v>Case: communication roles and legal services. Assumption from Sam: social-media crisis templates are available.</x:v>
      </x:c>
      <x:c r="F432" s="33" t="str">
        <x:v>Applied in project review</x:v>
      </x:c>
      <x:c r="G432" s="43" t="d">
        <x:v>2026-10-18T00:00:00.000Z</x:v>
      </x:c>
    </x:row>
    <x:row r="433" ht="120" customHeight="1">
      <x:c r="A433" s="33" t="str">
        <x:v>R-036</x:v>
      </x:c>
      <x:c r="B433" s="33" t="str">
        <x:v>D12</x:v>
      </x:c>
      <x:c r="C433" s="33" t="str">
        <x:v>Control evidence status</x:v>
      </x:c>
      <x:c r="D433" s="33" t="str">
        <x:v>Reported in Sam’s draft; implementation and scope require verification.</x:v>
      </x:c>
      <x:c r="E433" s="33" t="str">
        <x:v>Mixed evidence: case arrangements plus explicit team assumptions; see Evidence and experience.</x:v>
      </x:c>
      <x:c r="F433" s="33" t="str">
        <x:v>Applied in project review</x:v>
      </x:c>
      <x:c r="G433" s="43" t="d">
        <x:v>2026-10-18T00:00:00.000Z</x:v>
      </x:c>
    </x:row>
    <x:row r="434" ht="120" customHeight="1">
      <x:c r="A434" s="33" t="str">
        <x:v>R-036</x:v>
      </x:c>
      <x:c r="B434" s="33" t="str">
        <x:v>D12</x:v>
      </x:c>
      <x:c r="C434" s="33" t="str">
        <x:v>Control effectiveness</x:v>
      </x:c>
      <x:c r="D434" s="33" t="str">
        <x:v>Customer incentives may support recovery after a service failure; they do not establish prevention. Message approval, service updates and consistency checks are unverified.</x:v>
      </x:c>
      <x:c r="E434" s="33" t="str">
        <x:v>Templates and advice may support communication. Accuracy, timely updates and checks across channels are not demonstrated.</x:v>
      </x:c>
      <x:c r="F434" s="33" t="str">
        <x:v>Applied in project review</x:v>
      </x:c>
      <x:c r="G434" s="43" t="d">
        <x:v>2026-10-18T00:00:00.000Z</x:v>
      </x:c>
    </x:row>
    <x:row r="435" ht="120" customHeight="1">
      <x:c r="A435" s="33" t="str">
        <x:v>R-036</x:v>
      </x:c>
      <x:c r="B435" s="33" t="str">
        <x:v>D12; D13</x:v>
      </x:c>
      <x:c r="C435" s="33" t="str">
        <x:v>Evidence and experience</x:v>
      </x:c>
      <x:c r="D435" s="33" t="str">
        <x:v>See Source Records for R-036 and Source Text for the original references. No verified internal incident history or empirical probability estimate is supplied. Historical examples require a scenario-date and relevance check before use.</x:v>
      </x:c>
      <x:c r="E435" s="33" t="str">
        <x:v>Business outline(1).pdf: The case confirms a Marketing Manager, customer-service roles and legal services (pp. 6–7), but not communication templates or approval checks. Team source: Sam’s Existing Controls.docx; original descriptions and examples are preserved by Record ID in Source Records. No internal incident history is verified. Only evidence available by 2020-04-01 can support the initial assessment.</x:v>
      </x:c>
      <x:c r="F435" s="33" t="str">
        <x:v>Applied in project review</x:v>
      </x:c>
      <x:c r="G435" s="43" t="d">
        <x:v>2026-10-18T00:00:00.000Z</x:v>
      </x:c>
    </x:row>
    <x:row r="436" ht="120" customHeight="1">
      <x:c r="A436" s="33" t="str">
        <x:v>R-036</x:v>
      </x:c>
      <x:c r="B436" s="33" t="str">
        <x:v>D12 draft</x:v>
      </x:c>
      <x:c r="C436" s="33" t="str">
        <x:v>Tolerability</x:v>
      </x:c>
      <x:c r="D436" s="33" t="str">
        <x:v>Awaiting assessment</x:v>
      </x:c>
      <x:c r="E436" s="33" t="str">
        <x:v>Not tolerable</x:v>
      </x:c>
      <x:c r="F436" s="33" t="str">
        <x:v>Applied in project review</x:v>
      </x:c>
      <x:c r="G436" s="43" t="d">
        <x:v>2026-10-18T00:00:00.000Z</x:v>
      </x:c>
    </x:row>
    <x:row r="437" ht="120" customHeight="1">
      <x:c r="A437" s="33" t="str">
        <x:v>R-036</x:v>
      </x:c>
      <x:c r="B437" s="33" t="str">
        <x:v>D12 draft</x:v>
      </x:c>
      <x:c r="C437" s="33" t="str">
        <x:v>Tolerability reasoning</x:v>
      </x:c>
      <x:c r="D437" s="33" t="str">
        <x:v>The supplied information does not establish the remaining exposure after controls. Message approval, service updates and consistency checks are unverified. A tolerability decision must consider the agreed appetite and the need to sustain consistent service communication.</x:v>
      </x:c>
      <x:c r="E437" s="33" t="str">
        <x:v>Not tolerable where assumed communication gaps repeatedly create material unmet expectations and customer harm. A low-impact isolated misunderstanding is outside this scenario.</x:v>
      </x:c>
      <x:c r="F437" s="33" t="str">
        <x:v>Applied in project review</x:v>
      </x:c>
      <x:c r="G437" s="43" t="d">
        <x:v>2026-10-18T00:00:00.000Z</x:v>
      </x:c>
    </x:row>
    <x:row r="438" ht="120" customHeight="1">
      <x:c r="A438" s="33" t="str">
        <x:v>R-036</x:v>
      </x:c>
      <x:c r="B438" s="33" t="str">
        <x:v>D14</x:v>
      </x:c>
      <x:c r="C438" s="33" t="str">
        <x:v>Risk owner</x:v>
      </x:c>
      <x:c r="D438" s="33" t="str">
        <x:v>Unassigned</x:v>
      </x:c>
      <x:c r="E438" s="33" t="str">
        <x:v>Customer Service Manager</x:v>
      </x:c>
      <x:c r="F438" s="33" t="str">
        <x:v>Applied in project review</x:v>
      </x:c>
      <x:c r="G438" s="43" t="d">
        <x:v>2026-10-18T00:00:00.000Z</x:v>
      </x:c>
    </x:row>
    <x:row r="439" ht="120" customHeight="1">
      <x:c r="A439" s="33" t="str">
        <x:v>R-036</x:v>
      </x:c>
      <x:c r="B439" s="33" t="str">
        <x:v>D11 / D12</x:v>
      </x:c>
      <x:c r="C439" s="33" t="str">
        <x:v>Assessment status</x:v>
      </x:c>
      <x:c r="D439" s="33" t="str">
        <x:v>Draft for review</x:v>
      </x:c>
      <x:c r="E439" s="33" t="str">
        <x:v>Revised draft for review</x:v>
      </x:c>
      <x:c r="F439" s="33" t="str">
        <x:v>Applied in project review</x:v>
      </x:c>
      <x:c r="G439" s="43" t="d">
        <x:v>2026-10-18T00:00:00.000Z</x:v>
      </x:c>
    </x:row>
    <x:row r="440" ht="120" customHeight="1">
      <x:c r="A440" s="33" t="str">
        <x:v>R-036</x:v>
      </x:c>
      <x:c r="B440" s="33" t="str">
        <x:v>D13</x:v>
      </x:c>
      <x:c r="C440" s="33" t="str">
        <x:v>Longer-term exposure</x:v>
      </x:c>
      <x:c r="D440" s="33" t="str">
        <x:v>Consequences may extend beyond three months; reassess during weekly reviews.</x:v>
      </x:c>
      <x:c r="E440" s="33" t="str">
        <x:v>Consequences may extend beyond three months; reassess during weekly reviews. Initial likelihood horizon ends 2020-06-30; later information belongs to dated reviews.</x:v>
      </x:c>
      <x:c r="F440" s="33" t="str">
        <x:v>Applied in project review</x:v>
      </x:c>
      <x:c r="G440" s="43" t="d">
        <x:v>2026-10-18T00:00:00.000Z</x:v>
      </x:c>
    </x:row>
    <x:row r="441" ht="120" customHeight="1">
      <x:c r="A441" s="33" t="str">
        <x:v>R-036</x:v>
      </x:c>
      <x:c r="B441" s="33" t="str">
        <x:v>Review batch</x:v>
      </x:c>
      <x:c r="C441" s="33" t="str">
        <x:v>Revision notes</x:v>
      </x:c>
      <x:c r="D441" s="33" t="str">
        <x:v>Cause, event and impact separated; wording aligned to pandemic onset. Source evidence and controls remain unverified. Proposed code R4-C-01 to R4-G-01 based on primary cause or index placement. D01: Chris approved the Governance and Processes classification on 2026-10-18 (project review). Scores and other assessments remain provisional.</x:v>
      </x:c>
      <x:c r="E441" s="33" t="str">
        <x:v>Cause, event and impact separated; wording aligned to pandemic onset. Source evidence and controls remain unverified. Proposed code R4-C-01 to R4-G-01 based on primary cause or index placement. D01: Chris approved the Governance and Processes classification on 2026-10-18 (project review). Scores and other assessments remain provisional. Decisions applied: D01; D06; D12–D14. See Decision Log for specific before/after values.</x:v>
      </x:c>
      <x:c r="F441" s="33" t="str">
        <x:v>Applied in project review</x:v>
      </x:c>
      <x:c r="G441" s="43" t="d">
        <x:v>2026-10-18T00:00:00.000Z</x:v>
      </x:c>
    </x:row>
    <x:row r="442" ht="120" customHeight="1">
      <x:c r="A442" s="33" t="str">
        <x:v>R-037</x:v>
      </x:c>
      <x:c r="B442" s="33" t="str">
        <x:v>D13</x:v>
      </x:c>
      <x:c r="C442" s="33" t="str">
        <x:v>Likelihood horizon</x:v>
      </x:c>
      <x:c r="D442" s="33" t="str">
        <x:v>Initial three months</x:v>
      </x:c>
      <x:c r="E442" s="33" t="str">
        <x:v>2020-04-01 to 2020-06-30</x:v>
      </x:c>
      <x:c r="F442" s="33" t="str">
        <x:v>Applied in project review</x:v>
      </x:c>
      <x:c r="G442" s="43" t="d">
        <x:v>2026-10-18T00:00:00.000Z</x:v>
      </x:c>
    </x:row>
    <x:row r="443" ht="120" customHeight="1">
      <x:c r="A443" s="33" t="str">
        <x:v>R-037</x:v>
      </x:c>
      <x:c r="B443" s="33" t="str">
        <x:v>D12</x:v>
      </x:c>
      <x:c r="C443" s="33" t="str">
        <x:v>Existing controls</x:v>
      </x:c>
      <x:c r="D443" s="33" t="str">
        <x:v>Financial modelling, customer incentives and market research are reported.</x:v>
      </x:c>
      <x:c r="E443" s="33" t="str">
        <x:v>Assumption from Sam: financial modelling, market research and customer incentives operate. None is specified as a tested control in the case.</x:v>
      </x:c>
      <x:c r="F443" s="33" t="str">
        <x:v>Applied in project review</x:v>
      </x:c>
      <x:c r="G443" s="43" t="d">
        <x:v>2026-10-18T00:00:00.000Z</x:v>
      </x:c>
    </x:row>
    <x:row r="444" ht="120" customHeight="1">
      <x:c r="A444" s="33" t="str">
        <x:v>R-037</x:v>
      </x:c>
      <x:c r="B444" s="33" t="str">
        <x:v>D12</x:v>
      </x:c>
      <x:c r="C444" s="33" t="str">
        <x:v>Control evidence status</x:v>
      </x:c>
      <x:c r="D444" s="33" t="str">
        <x:v>Reported in Sam’s draft; implementation and scope require verification.</x:v>
      </x:c>
      <x:c r="E444" s="33" t="str">
        <x:v>Mixed evidence: case arrangements plus explicit team assumptions; see Evidence and experience.</x:v>
      </x:c>
      <x:c r="F444" s="33" t="str">
        <x:v>Applied in project review</x:v>
      </x:c>
      <x:c r="G444" s="43" t="d">
        <x:v>2026-10-18T00:00:00.000Z</x:v>
      </x:c>
    </x:row>
    <x:row r="445" ht="120" customHeight="1">
      <x:c r="A445" s="33" t="str">
        <x:v>R-037</x:v>
      </x:c>
      <x:c r="B445" s="33" t="str">
        <x:v>D12</x:v>
      </x:c>
      <x:c r="C445" s="33" t="str">
        <x:v>Control effectiveness</x:v>
      </x:c>
      <x:c r="D445" s="33" t="str">
        <x:v>Effectiveness is not demonstrated. Lapse forecasts, affordability arrangements and retention effectiveness need confirmation.</x:v>
      </x:c>
      <x:c r="E445" s="33" t="str">
        <x:v>These may support adaptation and retention, but cannot prevent customers’ financial difficulties or prove revenue resilience.</x:v>
      </x:c>
      <x:c r="F445" s="33" t="str">
        <x:v>Applied in project review</x:v>
      </x:c>
      <x:c r="G445" s="43" t="d">
        <x:v>2026-10-18T00:00:00.000Z</x:v>
      </x:c>
    </x:row>
    <x:row r="446" ht="120" customHeight="1">
      <x:c r="A446" s="33" t="str">
        <x:v>R-037</x:v>
      </x:c>
      <x:c r="B446" s="33" t="str">
        <x:v>D12; D13</x:v>
      </x:c>
      <x:c r="C446" s="33" t="str">
        <x:v>Evidence and experience</x:v>
      </x:c>
      <x:c r="D446" s="33" t="str">
        <x:v>See Source Records for R-037 and Source Text for the original references. No verified internal incident history or empirical probability estimate is supplied. Historical examples require a scenario-date and relevance check before use.</x:v>
      </x:c>
      <x:c r="E446" s="33"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446" s="33" t="str">
        <x:v>Applied in project review</x:v>
      </x:c>
      <x:c r="G446" s="43" t="d">
        <x:v>2026-10-18T00:00:00.000Z</x:v>
      </x:c>
    </x:row>
    <x:row r="447" ht="120" customHeight="1">
      <x:c r="A447" s="33" t="str">
        <x:v>R-037</x:v>
      </x:c>
      <x:c r="B447" s="33" t="str">
        <x:v>D12 draft</x:v>
      </x:c>
      <x:c r="C447" s="33" t="str">
        <x:v>Tolerability</x:v>
      </x:c>
      <x:c r="D447" s="33" t="str">
        <x:v>Awaiting assessment</x:v>
      </x:c>
      <x:c r="E447" s="33" t="str">
        <x:v>Tolerable</x:v>
      </x:c>
      <x:c r="F447" s="33" t="str">
        <x:v>Applied in project review</x:v>
      </x:c>
      <x:c r="G447" s="43" t="d">
        <x:v>2026-10-18T00:00:00.000Z</x:v>
      </x:c>
    </x:row>
    <x:row r="448" ht="120" customHeight="1">
      <x:c r="A448" s="33" t="str">
        <x:v>R-037</x:v>
      </x:c>
      <x:c r="B448" s="33" t="str">
        <x:v>D12 draft</x:v>
      </x:c>
      <x:c r="C448" s="33" t="str">
        <x:v>Tolerability reasoning</x:v>
      </x:c>
      <x:c r="D448" s="33" t="str">
        <x:v>The supplied information does not establish the remaining exposure after controls. Lapse forecasts, affordability arrangements and retention effectiveness need confirmation. A tolerability decision must consider the agreed appetite and the need to sustain premium income and customer retention.</x:v>
      </x:c>
      <x:c r="E448" s="33" t="str">
        <x:v>Tolerable provisionally as an unavoidable, moderate commercial exposure to household affordability pressure, assuming premium losses remain within financial capacity and customers are treated appropriately. This assumption must be tested against portfolio forecasts.</x:v>
      </x:c>
      <x:c r="F448" s="33" t="str">
        <x:v>Applied in project review</x:v>
      </x:c>
      <x:c r="G448" s="43" t="d">
        <x:v>2026-10-18T00:00:00.000Z</x:v>
      </x:c>
    </x:row>
    <x:row r="449" ht="120" customHeight="1">
      <x:c r="A449" s="33" t="str">
        <x:v>R-037</x:v>
      </x:c>
      <x:c r="B449" s="33" t="str">
        <x:v>D14</x:v>
      </x:c>
      <x:c r="C449" s="33" t="str">
        <x:v>Risk owner</x:v>
      </x:c>
      <x:c r="D449" s="33" t="str">
        <x:v>Unassigned</x:v>
      </x:c>
      <x:c r="E449" s="33" t="str">
        <x:v>Marketing Manager</x:v>
      </x:c>
      <x:c r="F449" s="33" t="str">
        <x:v>Applied in project review</x:v>
      </x:c>
      <x:c r="G449" s="43" t="d">
        <x:v>2026-10-18T00:00:00.000Z</x:v>
      </x:c>
    </x:row>
    <x:row r="450" ht="120" customHeight="1">
      <x:c r="A450" s="33" t="str">
        <x:v>R-037</x:v>
      </x:c>
      <x:c r="B450" s="33" t="str">
        <x:v>D11 / D12</x:v>
      </x:c>
      <x:c r="C450" s="33" t="str">
        <x:v>Assessment status</x:v>
      </x:c>
      <x:c r="D450" s="33" t="str">
        <x:v>Draft for review</x:v>
      </x:c>
      <x:c r="E450" s="33" t="str">
        <x:v>Revised draft for review</x:v>
      </x:c>
      <x:c r="F450" s="33" t="str">
        <x:v>Applied in project review</x:v>
      </x:c>
      <x:c r="G450" s="43" t="d">
        <x:v>2026-10-18T00:00:00.000Z</x:v>
      </x:c>
    </x:row>
    <x:row r="451" ht="120" customHeight="1">
      <x:c r="A451" s="33" t="str">
        <x:v>R-037</x:v>
      </x:c>
      <x:c r="B451" s="33" t="str">
        <x:v>D13</x:v>
      </x:c>
      <x:c r="C451" s="33" t="str">
        <x:v>Longer-term exposure</x:v>
      </x:c>
      <x:c r="D451" s="33" t="str">
        <x:v>Consequences may extend beyond three months; reassess during weekly reviews.</x:v>
      </x:c>
      <x:c r="E451" s="33" t="str">
        <x:v>Consequences may extend beyond three months; reassess during weekly reviews. Initial likelihood horizon ends 2020-06-30; later information belongs to dated reviews.</x:v>
      </x:c>
      <x:c r="F451" s="33" t="str">
        <x:v>Applied in project review</x:v>
      </x:c>
      <x:c r="G451" s="43" t="d">
        <x:v>2026-10-18T00:00:00.000Z</x:v>
      </x:c>
    </x:row>
    <x:row r="452" ht="120" customHeight="1">
      <x:c r="A452" s="33" t="str">
        <x:v>R-037</x:v>
      </x:c>
      <x:c r="B452" s="33" t="str">
        <x:v>Review batch</x:v>
      </x:c>
      <x:c r="C452" s="33" t="str">
        <x:v>Revision notes</x:v>
      </x:c>
      <x:c r="D452" s="33" t="str">
        <x:v>Cause, event and impact separated; wording aligned to pandemic onset. Source evidence and controls remain unverified.</x:v>
      </x:c>
      <x:c r="E452" s="33" t="str">
        <x:v>Cause, event and impact separated; wording aligned to pandemic onset. Source evidence and controls remain unverified. Decisions applied: D09; D12–D14. See Decision Log for specific before/after values.</x:v>
      </x:c>
      <x:c r="F452" s="33" t="str">
        <x:v>Applied in project review</x:v>
      </x:c>
      <x:c r="G452" s="43" t="d">
        <x:v>2026-10-18T00:00:00.000Z</x:v>
      </x:c>
    </x:row>
    <x:row r="453" ht="120" customHeight="1">
      <x:c r="A453" s="33" t="str">
        <x:v>R-038</x:v>
      </x:c>
      <x:c r="B453" s="33" t="str">
        <x:v>D13</x:v>
      </x:c>
      <x:c r="C453" s="33" t="str">
        <x:v>Likelihood horizon</x:v>
      </x:c>
      <x:c r="D453" s="33" t="str">
        <x:v>Initial three months</x:v>
      </x:c>
      <x:c r="E453" s="33" t="str">
        <x:v>2020-04-01 to 2020-06-30</x:v>
      </x:c>
      <x:c r="F453" s="33" t="str">
        <x:v>Applied in project review</x:v>
      </x:c>
      <x:c r="G453" s="43" t="d">
        <x:v>2026-10-18T00:00:00.000Z</x:v>
      </x:c>
    </x:row>
    <x:row r="454" ht="120" customHeight="1">
      <x:c r="A454" s="33" t="str">
        <x:v>R-038</x:v>
      </x:c>
      <x:c r="B454" s="33" t="str">
        <x:v>D12</x:v>
      </x:c>
      <x:c r="C454" s="33" t="str">
        <x:v>Existing controls</x:v>
      </x:c>
      <x:c r="D454" s="33" t="str">
        <x:v>Financial modelling, customer incentives and market research are reported.</x:v>
      </x:c>
      <x:c r="E454" s="33" t="str">
        <x:v>Assumption from Sam: financial modelling, market research and customer incentives operate. None is specified as a tested control in the case.</x:v>
      </x:c>
      <x:c r="F454" s="33" t="str">
        <x:v>Applied in project review</x:v>
      </x:c>
      <x:c r="G454" s="43" t="d">
        <x:v>2026-10-18T00:00:00.000Z</x:v>
      </x:c>
    </x:row>
    <x:row r="455" ht="120" customHeight="1">
      <x:c r="A455" s="33" t="str">
        <x:v>R-038</x:v>
      </x:c>
      <x:c r="B455" s="33" t="str">
        <x:v>D12</x:v>
      </x:c>
      <x:c r="C455" s="33" t="str">
        <x:v>Control evidence status</x:v>
      </x:c>
      <x:c r="D455" s="33" t="str">
        <x:v>Reported in Sam’s draft; implementation and scope require verification.</x:v>
      </x:c>
      <x:c r="E455" s="33" t="str">
        <x:v>Mixed evidence: case arrangements plus explicit team assumptions; see Evidence and experience.</x:v>
      </x:c>
      <x:c r="F455" s="33" t="str">
        <x:v>Applied in project review</x:v>
      </x:c>
      <x:c r="G455" s="43" t="d">
        <x:v>2026-10-18T00:00:00.000Z</x:v>
      </x:c>
    </x:row>
    <x:row r="456" ht="120" customHeight="1">
      <x:c r="A456" s="33" t="str">
        <x:v>R-038</x:v>
      </x:c>
      <x:c r="B456" s="33" t="str">
        <x:v>D12</x:v>
      </x:c>
      <x:c r="C456" s="33" t="str">
        <x:v>Control effectiveness</x:v>
      </x:c>
      <x:c r="D456" s="33" t="str">
        <x:v>Effectiveness is not demonstrated. Confirm product scope, segment exposure and relevant retention arrangements.</x:v>
      </x:c>
      <x:c r="E456" s="33" t="str">
        <x:v>These may support adaptation and retention, but cannot prevent customers’ financial difficulties or prove revenue resilience.</x:v>
      </x:c>
      <x:c r="F456" s="33" t="str">
        <x:v>Applied in project review</x:v>
      </x:c>
      <x:c r="G456" s="43" t="d">
        <x:v>2026-10-18T00:00:00.000Z</x:v>
      </x:c>
    </x:row>
    <x:row r="457" ht="120" customHeight="1">
      <x:c r="A457" s="33" t="str">
        <x:v>R-038</x:v>
      </x:c>
      <x:c r="B457" s="33" t="str">
        <x:v>D12; D13</x:v>
      </x:c>
      <x:c r="C457" s="33" t="str">
        <x:v>Evidence and experience</x:v>
      </x:c>
      <x:c r="D457" s="33" t="str">
        <x:v>See Source Records for R-038 and Source Text for the original references. No verified internal incident history or empirical probability estimate is supplied. Historical examples require a scenario-date and relevance check before use.</x:v>
      </x:c>
      <x:c r="E457" s="33"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457" s="33" t="str">
        <x:v>Applied in project review</x:v>
      </x:c>
      <x:c r="G457" s="43" t="d">
        <x:v>2026-10-18T00:00:00.000Z</x:v>
      </x:c>
    </x:row>
    <x:row r="458" ht="120" customHeight="1">
      <x:c r="A458" s="33" t="str">
        <x:v>R-038</x:v>
      </x:c>
      <x:c r="B458" s="33" t="str">
        <x:v>D12 draft</x:v>
      </x:c>
      <x:c r="C458" s="33" t="str">
        <x:v>Tolerability</x:v>
      </x:c>
      <x:c r="D458" s="33" t="str">
        <x:v>Awaiting assessment</x:v>
      </x:c>
      <x:c r="E458" s="33" t="str">
        <x:v>Tolerable</x:v>
      </x:c>
      <x:c r="F458" s="33" t="str">
        <x:v>Applied in project review</x:v>
      </x:c>
      <x:c r="G458" s="43" t="d">
        <x:v>2026-10-18T00:00:00.000Z</x:v>
      </x:c>
    </x:row>
    <x:row r="459" ht="120" customHeight="1">
      <x:c r="A459" s="33" t="str">
        <x:v>R-038</x:v>
      </x:c>
      <x:c r="B459" s="33" t="str">
        <x:v>D12 draft</x:v>
      </x:c>
      <x:c r="C459" s="33" t="str">
        <x:v>Tolerability reasoning</x:v>
      </x:c>
      <x:c r="D459" s="33" t="str">
        <x:v>The supplied information does not establish the remaining exposure after controls. Confirm product scope, segment exposure and relevant retention arrangements. A tolerability decision must consider the agreed appetite and the need to sustain customer affordability and premium income.</x:v>
      </x:c>
      <x:c r="E459" s="33" t="str">
        <x:v>Tolerable provisionally as moderate exposure to the confirmed small-business segment, assuming reductions do not threaten financial capacity and treatment of customers remains appropriate. The segment’s premium concentration is unverified.</x:v>
      </x:c>
      <x:c r="F459" s="33" t="str">
        <x:v>Applied in project review</x:v>
      </x:c>
      <x:c r="G459" s="43" t="d">
        <x:v>2026-10-18T00:00:00.000Z</x:v>
      </x:c>
    </x:row>
    <x:row r="460" ht="120" customHeight="1">
      <x:c r="A460" s="33" t="str">
        <x:v>R-038</x:v>
      </x:c>
      <x:c r="B460" s="33" t="str">
        <x:v>D14</x:v>
      </x:c>
      <x:c r="C460" s="33" t="str">
        <x:v>Risk owner</x:v>
      </x:c>
      <x:c r="D460" s="33" t="str">
        <x:v>Unassigned</x:v>
      </x:c>
      <x:c r="E460" s="33" t="str">
        <x:v>Marketing Manager</x:v>
      </x:c>
      <x:c r="F460" s="33" t="str">
        <x:v>Applied in project review</x:v>
      </x:c>
      <x:c r="G460" s="43" t="d">
        <x:v>2026-10-18T00:00:00.000Z</x:v>
      </x:c>
    </x:row>
    <x:row r="461" ht="120" customHeight="1">
      <x:c r="A461" s="33" t="str">
        <x:v>R-038</x:v>
      </x:c>
      <x:c r="B461" s="33" t="str">
        <x:v>D11 / D12</x:v>
      </x:c>
      <x:c r="C461" s="33" t="str">
        <x:v>Assessment status</x:v>
      </x:c>
      <x:c r="D461" s="33" t="str">
        <x:v>Draft for review</x:v>
      </x:c>
      <x:c r="E461" s="33" t="str">
        <x:v>Revised draft for review</x:v>
      </x:c>
      <x:c r="F461" s="33" t="str">
        <x:v>Applied in project review</x:v>
      </x:c>
      <x:c r="G461" s="43" t="d">
        <x:v>2026-10-18T00:00:00.000Z</x:v>
      </x:c>
    </x:row>
    <x:row r="462" ht="120" customHeight="1">
      <x:c r="A462" s="33" t="str">
        <x:v>R-038</x:v>
      </x:c>
      <x:c r="B462" s="33" t="str">
        <x:v>D13</x:v>
      </x:c>
      <x:c r="C462" s="33" t="str">
        <x:v>Longer-term exposure</x:v>
      </x:c>
      <x:c r="D462" s="33" t="str">
        <x:v>Consequences may extend beyond three months; reassess during weekly reviews.</x:v>
      </x:c>
      <x:c r="E462" s="33" t="str">
        <x:v>Consequences may extend beyond three months; reassess during weekly reviews. Initial likelihood horizon ends 2020-06-30; later information belongs to dated reviews.</x:v>
      </x:c>
      <x:c r="F462" s="33" t="str">
        <x:v>Applied in project review</x:v>
      </x:c>
      <x:c r="G462" s="43" t="d">
        <x:v>2026-10-18T00:00:00.000Z</x:v>
      </x:c>
    </x:row>
    <x:row r="463" ht="120" customHeight="1">
      <x:c r="A463" s="33" t="str">
        <x:v>R-038</x:v>
      </x:c>
      <x:c r="B463" s="33" t="str">
        <x:v>Review batch</x:v>
      </x:c>
      <x:c r="C463" s="33" t="str">
        <x:v>Revision notes</x:v>
      </x:c>
      <x:c r="D463" s="33" t="str">
        <x:v>Cause, event and impact separated; wording aligned to pandemic onset. Source evidence and controls remain unverified.</x:v>
      </x:c>
      <x:c r="E463" s="33" t="str">
        <x:v>Cause, event and impact separated; wording aligned to pandemic onset. Source evidence and controls remain unverified. Decisions applied: D08; D09; D12–D14. See Decision Log for specific before/after values.</x:v>
      </x:c>
      <x:c r="F463" s="33" t="str">
        <x:v>Applied in project review</x:v>
      </x:c>
      <x:c r="G463" s="43" t="d">
        <x:v>2026-10-18T00:00:00.000Z</x:v>
      </x:c>
    </x:row>
    <x:row r="464" ht="120" customHeight="1">
      <x:c r="A464" s="33" t="str">
        <x:v>R-039</x:v>
      </x:c>
      <x:c r="B464" s="33" t="str">
        <x:v>D13</x:v>
      </x:c>
      <x:c r="C464" s="33" t="str">
        <x:v>Likelihood horizon</x:v>
      </x:c>
      <x:c r="D464" s="33" t="str">
        <x:v>Initial three months</x:v>
      </x:c>
      <x:c r="E464" s="33" t="str">
        <x:v>2020-04-01 to 2020-06-30</x:v>
      </x:c>
      <x:c r="F464" s="33" t="str">
        <x:v>Applied in project review</x:v>
      </x:c>
      <x:c r="G464" s="43" t="d">
        <x:v>2026-10-18T00:00:00.000Z</x:v>
      </x:c>
    </x:row>
    <x:row r="465" ht="120" customHeight="1">
      <x:c r="A465" s="33" t="str">
        <x:v>R-039</x:v>
      </x:c>
      <x:c r="B465" s="33" t="str">
        <x:v>D12</x:v>
      </x:c>
      <x:c r="C465" s="33" t="str">
        <x:v>Existing controls</x:v>
      </x:c>
      <x:c r="D465" s="33" t="str">
        <x:v>Financial modelling, customer incentives and market research are reported.</x:v>
      </x:c>
      <x:c r="E465" s="33" t="str">
        <x:v>Assumption from Sam: financial modelling, market research and customer incentives operate. None is specified as a tested control in the case.</x:v>
      </x:c>
      <x:c r="F465" s="33" t="str">
        <x:v>Applied in project review</x:v>
      </x:c>
      <x:c r="G465" s="43" t="d">
        <x:v>2026-10-18T00:00:00.000Z</x:v>
      </x:c>
    </x:row>
    <x:row r="466" ht="120" customHeight="1">
      <x:c r="A466" s="33" t="str">
        <x:v>R-039</x:v>
      </x:c>
      <x:c r="B466" s="33" t="str">
        <x:v>D12</x:v>
      </x:c>
      <x:c r="C466" s="33" t="str">
        <x:v>Control evidence status</x:v>
      </x:c>
      <x:c r="D466" s="33" t="str">
        <x:v>Reported in Sam’s draft; implementation and scope require verification.</x:v>
      </x:c>
      <x:c r="E466" s="33" t="str">
        <x:v>Mixed evidence: case arrangements plus explicit team assumptions; see Evidence and experience.</x:v>
      </x:c>
      <x:c r="F466" s="33" t="str">
        <x:v>Applied in project review</x:v>
      </x:c>
      <x:c r="G466" s="43" t="d">
        <x:v>2026-10-18T00:00:00.000Z</x:v>
      </x:c>
    </x:row>
    <x:row r="467" ht="120" customHeight="1">
      <x:c r="A467" s="33" t="str">
        <x:v>R-039</x:v>
      </x:c>
      <x:c r="B467" s="33" t="str">
        <x:v>D12</x:v>
      </x:c>
      <x:c r="C467" s="33" t="str">
        <x:v>Control effectiveness</x:v>
      </x:c>
      <x:c r="D467" s="33" t="str">
        <x:v>Effectiveness is not demonstrated. Product forecasts, revenue sensitivity and retention measures are unverified.</x:v>
      </x:c>
      <x:c r="E467" s="33" t="str">
        <x:v>These may support adaptation and retention, but cannot prevent customers’ financial difficulties or prove revenue resilience.</x:v>
      </x:c>
      <x:c r="F467" s="33" t="str">
        <x:v>Applied in project review</x:v>
      </x:c>
      <x:c r="G467" s="43" t="d">
        <x:v>2026-10-18T00:00:00.000Z</x:v>
      </x:c>
    </x:row>
    <x:row r="468" ht="120" customHeight="1">
      <x:c r="A468" s="33" t="str">
        <x:v>R-039</x:v>
      </x:c>
      <x:c r="B468" s="33" t="str">
        <x:v>D12; D13</x:v>
      </x:c>
      <x:c r="C468" s="33" t="str">
        <x:v>Evidence and experience</x:v>
      </x:c>
      <x:c r="D468" s="33" t="str">
        <x:v>See Source Records for R-039 and Source Text for the original references. No verified internal incident history or empirical probability estimate is supplied. Historical examples require a scenario-date and relevance check before use.</x:v>
      </x:c>
      <x:c r="E468" s="33"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468" s="33" t="str">
        <x:v>Applied in project review</x:v>
      </x:c>
      <x:c r="G468" s="43" t="d">
        <x:v>2026-10-18T00:00:00.000Z</x:v>
      </x:c>
    </x:row>
    <x:row r="469" ht="120" customHeight="1">
      <x:c r="A469" s="33" t="str">
        <x:v>R-039</x:v>
      </x:c>
      <x:c r="B469" s="33" t="str">
        <x:v>D12 draft</x:v>
      </x:c>
      <x:c r="C469" s="33" t="str">
        <x:v>Tolerability reasoning</x:v>
      </x:c>
      <x:c r="D469" s="33" t="str">
        <x:v>The supplied information does not establish the remaining exposure after controls. Product forecasts, revenue sensitivity and retention measures are unverified. A tolerability decision must consider the agreed appetite and the need to sustain product revenue and diversification.</x:v>
      </x:c>
      <x:c r="E469" s="33" t="str">
        <x:v>Awaiting assessment: the case does not quantify the exposure and available financial capacity sufficiently to decide whether the remaining risk fits appetite. Product forecasts, revenue sensitivity and retention measures are unverified. Continued operations require this assessment; a High or Extreme inherent rating alone is not a tolerability decision.</x:v>
      </x:c>
      <x:c r="F469" s="33" t="str">
        <x:v>Applied in project review</x:v>
      </x:c>
      <x:c r="G469" s="43" t="d">
        <x:v>2026-10-18T00:00:00.000Z</x:v>
      </x:c>
    </x:row>
    <x:row r="470" ht="120" customHeight="1">
      <x:c r="A470" s="33" t="str">
        <x:v>R-039</x:v>
      </x:c>
      <x:c r="B470" s="33" t="str">
        <x:v>D14</x:v>
      </x:c>
      <x:c r="C470" s="33" t="str">
        <x:v>Risk owner</x:v>
      </x:c>
      <x:c r="D470" s="33" t="str">
        <x:v>Unassigned</x:v>
      </x:c>
      <x:c r="E470" s="33" t="str">
        <x:v>Marketing Manager</x:v>
      </x:c>
      <x:c r="F470" s="33" t="str">
        <x:v>Applied in project review</x:v>
      </x:c>
      <x:c r="G470" s="43" t="d">
        <x:v>2026-10-18T00:00:00.000Z</x:v>
      </x:c>
    </x:row>
    <x:row r="471" ht="120" customHeight="1">
      <x:c r="A471" s="33" t="str">
        <x:v>R-039</x:v>
      </x:c>
      <x:c r="B471" s="33" t="str">
        <x:v>D11 / D12</x:v>
      </x:c>
      <x:c r="C471" s="33" t="str">
        <x:v>Assessment status</x:v>
      </x:c>
      <x:c r="D471" s="33" t="str">
        <x:v>Draft for review</x:v>
      </x:c>
      <x:c r="E471" s="33" t="str">
        <x:v>Revised draft for review</x:v>
      </x:c>
      <x:c r="F471" s="33" t="str">
        <x:v>Applied in project review</x:v>
      </x:c>
      <x:c r="G471" s="43" t="d">
        <x:v>2026-10-18T00:00:00.000Z</x:v>
      </x:c>
    </x:row>
    <x:row r="472" ht="120" customHeight="1">
      <x:c r="A472" s="33" t="str">
        <x:v>R-039</x:v>
      </x:c>
      <x:c r="B472" s="33" t="str">
        <x:v>D13</x:v>
      </x:c>
      <x:c r="C472" s="33" t="str">
        <x:v>Longer-term exposure</x:v>
      </x:c>
      <x:c r="D472" s="33" t="str">
        <x:v>Consequences may extend beyond three months; reassess during weekly reviews.</x:v>
      </x:c>
      <x:c r="E472" s="33" t="str">
        <x:v>Consequences may extend beyond three months; reassess during weekly reviews. Initial likelihood horizon ends 2020-06-30; later information belongs to dated reviews.</x:v>
      </x:c>
      <x:c r="F472" s="33" t="str">
        <x:v>Applied in project review</x:v>
      </x:c>
      <x:c r="G472" s="43" t="d">
        <x:v>2026-10-18T00:00:00.000Z</x:v>
      </x:c>
    </x:row>
    <x:row r="473" ht="120" customHeight="1">
      <x:c r="A473" s="33" t="str">
        <x:v>R-039</x:v>
      </x:c>
      <x:c r="B473" s="33" t="str">
        <x:v>Review batch</x:v>
      </x:c>
      <x:c r="C473" s="33" t="str">
        <x:v>Revision notes</x:v>
      </x:c>
      <x:c r="D473" s="33" t="str">
        <x:v>Cause, event and impact separated; wording aligned to pandemic onset. Source evidence and controls remain unverified.</x:v>
      </x:c>
      <x:c r="E473" s="33" t="str">
        <x:v>Cause, event and impact separated; wording aligned to pandemic onset. Source evidence and controls remain unverified. Decisions applied: D11; D12–D14. See Decision Log for specific before/after values.</x:v>
      </x:c>
      <x:c r="F473" s="33" t="str">
        <x:v>Applied in project review</x:v>
      </x:c>
      <x:c r="G473" s="43" t="d">
        <x:v>2026-10-18T00:00:00.000Z</x:v>
      </x:c>
    </x:row>
    <x:row r="474" ht="120" customHeight="1">
      <x:c r="A474" s="33" t="str">
        <x:v>R-040</x:v>
      </x:c>
      <x:c r="B474" s="33" t="str">
        <x:v>D13</x:v>
      </x:c>
      <x:c r="C474" s="33" t="str">
        <x:v>Likelihood horizon</x:v>
      </x:c>
      <x:c r="D474" s="33" t="str">
        <x:v>Initial three months</x:v>
      </x:c>
      <x:c r="E474" s="33" t="str">
        <x:v>2020-04-01 to 2020-06-30</x:v>
      </x:c>
      <x:c r="F474" s="33" t="str">
        <x:v>Applied in project review</x:v>
      </x:c>
      <x:c r="G474" s="43" t="d">
        <x:v>2026-10-18T00:00:00.000Z</x:v>
      </x:c>
    </x:row>
    <x:row r="475" ht="120" customHeight="1">
      <x:c r="A475" s="33" t="str">
        <x:v>R-040</x:v>
      </x:c>
      <x:c r="B475" s="33" t="str">
        <x:v>D12</x:v>
      </x:c>
      <x:c r="C475" s="33" t="str">
        <x:v>Existing controls</x:v>
      </x:c>
      <x:c r="D475" s="33" t="str">
        <x:v>Continuous market research is reported.</x:v>
      </x:c>
      <x:c r="E475" s="33" t="str">
        <x:v>Assumption from Sam: financial modelling, market research and customer incentives operate. None is specified as a tested control in the case.</x:v>
      </x:c>
      <x:c r="F475" s="33" t="str">
        <x:v>Applied in project review</x:v>
      </x:c>
      <x:c r="G475" s="43" t="d">
        <x:v>2026-10-18T00:00:00.000Z</x:v>
      </x:c>
    </x:row>
    <x:row r="476" ht="120" customHeight="1">
      <x:c r="A476" s="33" t="str">
        <x:v>R-040</x:v>
      </x:c>
      <x:c r="B476" s="33" t="str">
        <x:v>D12</x:v>
      </x:c>
      <x:c r="C476" s="33" t="str">
        <x:v>Control evidence status</x:v>
      </x:c>
      <x:c r="D476" s="33" t="str">
        <x:v>Reported in Sam’s draft; implementation and scope require verification.</x:v>
      </x:c>
      <x:c r="E476" s="33" t="str">
        <x:v>Mixed evidence: case arrangements plus explicit team assumptions; see Evidence and experience.</x:v>
      </x:c>
      <x:c r="F476" s="33" t="str">
        <x:v>Applied in project review</x:v>
      </x:c>
      <x:c r="G476" s="43" t="d">
        <x:v>2026-10-18T00:00:00.000Z</x:v>
      </x:c>
    </x:row>
    <x:row r="477" ht="120" customHeight="1">
      <x:c r="A477" s="33" t="str">
        <x:v>R-040</x:v>
      </x:c>
      <x:c r="B477" s="33" t="str">
        <x:v>D12</x:v>
      </x:c>
      <x:c r="C477" s="33" t="str">
        <x:v>Control effectiveness</x:v>
      </x:c>
      <x:c r="D477" s="33" t="str">
        <x:v>Research may identify customer needs but does not establish that pricing or digital services meet them. Market research is reported; pricing intelligence and resulting decisions need verification.</x:v>
      </x:c>
      <x:c r="E477" s="33" t="str">
        <x:v>These may support adaptation and retention, but cannot prevent customers’ financial difficulties or prove revenue resilience.</x:v>
      </x:c>
      <x:c r="F477" s="33" t="str">
        <x:v>Applied in project review</x:v>
      </x:c>
      <x:c r="G477" s="43" t="d">
        <x:v>2026-10-18T00:00:00.000Z</x:v>
      </x:c>
    </x:row>
    <x:row r="478" ht="120" customHeight="1">
      <x:c r="A478" s="33" t="str">
        <x:v>R-040</x:v>
      </x:c>
      <x:c r="B478" s="33" t="str">
        <x:v>D12; D13</x:v>
      </x:c>
      <x:c r="C478" s="33" t="str">
        <x:v>Evidence and experience</x:v>
      </x:c>
      <x:c r="D478" s="33" t="str">
        <x:v>See Source Records for R-040 and Source Text for the original references. No verified internal incident history or empirical probability estimate is supplied. Historical examples require a scenario-date and relevance check before use.</x:v>
      </x:c>
      <x:c r="E478" s="33"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478" s="33" t="str">
        <x:v>Applied in project review</x:v>
      </x:c>
      <x:c r="G478" s="43" t="d">
        <x:v>2026-10-18T00:00:00.000Z</x:v>
      </x:c>
    </x:row>
    <x:row r="479" ht="120" customHeight="1">
      <x:c r="A479" s="33" t="str">
        <x:v>R-040</x:v>
      </x:c>
      <x:c r="B479" s="33" t="str">
        <x:v>D12 draft</x:v>
      </x:c>
      <x:c r="C479" s="33" t="str">
        <x:v>Tolerability</x:v>
      </x:c>
      <x:c r="D479" s="33" t="str">
        <x:v>Awaiting assessment</x:v>
      </x:c>
      <x:c r="E479" s="33" t="str">
        <x:v>Tolerable</x:v>
      </x:c>
      <x:c r="F479" s="33" t="str">
        <x:v>Applied in project review</x:v>
      </x:c>
      <x:c r="G479" s="43" t="d">
        <x:v>2026-10-18T00:00:00.000Z</x:v>
      </x:c>
    </x:row>
    <x:row r="480" ht="120" customHeight="1">
      <x:c r="A480" s="33" t="str">
        <x:v>R-040</x:v>
      </x:c>
      <x:c r="B480" s="33" t="str">
        <x:v>D12 draft</x:v>
      </x:c>
      <x:c r="C480" s="33" t="str">
        <x:v>Tolerability reasoning</x:v>
      </x:c>
      <x:c r="D480" s="33" t="str">
        <x:v>The supplied information does not establish the remaining exposure after controls. Market research is reported; pricing intelligence and resulting decisions need verification. A tolerability decision must consider the agreed appetite and the need to sustain competitive offer and retention.</x:v>
      </x:c>
      <x:c r="E480" s="33" t="str">
        <x:v>Tolerable provisionally as moderate competitive customer loss while continuing to offer insurance, assuming loss remains within financial capacity. Market research supports awareness but does not guarantee retention.</x:v>
      </x:c>
      <x:c r="F480" s="33" t="str">
        <x:v>Applied in project review</x:v>
      </x:c>
      <x:c r="G480" s="43" t="d">
        <x:v>2026-10-18T00:00:00.000Z</x:v>
      </x:c>
    </x:row>
    <x:row r="481" ht="120" customHeight="1">
      <x:c r="A481" s="33" t="str">
        <x:v>R-040</x:v>
      </x:c>
      <x:c r="B481" s="33" t="str">
        <x:v>D14</x:v>
      </x:c>
      <x:c r="C481" s="33" t="str">
        <x:v>Risk owner</x:v>
      </x:c>
      <x:c r="D481" s="33" t="str">
        <x:v>Unassigned</x:v>
      </x:c>
      <x:c r="E481" s="33" t="str">
        <x:v>Marketing Manager</x:v>
      </x:c>
      <x:c r="F481" s="33" t="str">
        <x:v>Applied in project review</x:v>
      </x:c>
      <x:c r="G481" s="43" t="d">
        <x:v>2026-10-18T00:00:00.000Z</x:v>
      </x:c>
    </x:row>
    <x:row r="482" ht="120" customHeight="1">
      <x:c r="A482" s="33" t="str">
        <x:v>R-040</x:v>
      </x:c>
      <x:c r="B482" s="33" t="str">
        <x:v>D11 / D12</x:v>
      </x:c>
      <x:c r="C482" s="33" t="str">
        <x:v>Assessment status</x:v>
      </x:c>
      <x:c r="D482" s="33" t="str">
        <x:v>Draft for review</x:v>
      </x:c>
      <x:c r="E482" s="33" t="str">
        <x:v>Revised draft for review</x:v>
      </x:c>
      <x:c r="F482" s="33" t="str">
        <x:v>Applied in project review</x:v>
      </x:c>
      <x:c r="G482" s="43" t="d">
        <x:v>2026-10-18T00:00:00.000Z</x:v>
      </x:c>
    </x:row>
    <x:row r="483" ht="120" customHeight="1">
      <x:c r="A483" s="33" t="str">
        <x:v>R-040</x:v>
      </x:c>
      <x:c r="B483" s="33" t="str">
        <x:v>D13</x:v>
      </x:c>
      <x:c r="C483" s="33" t="str">
        <x:v>Longer-term exposure</x:v>
      </x:c>
      <x:c r="D483" s="33" t="str">
        <x:v>Consequences may extend beyond three months; reassess during weekly reviews.</x:v>
      </x:c>
      <x:c r="E483" s="33" t="str">
        <x:v>Consequences may extend beyond three months; reassess during weekly reviews. Initial likelihood horizon ends 2020-06-30; later information belongs to dated reviews.</x:v>
      </x:c>
      <x:c r="F483" s="33" t="str">
        <x:v>Applied in project review</x:v>
      </x:c>
      <x:c r="G483" s="43" t="d">
        <x:v>2026-10-18T00:00:00.000Z</x:v>
      </x:c>
    </x:row>
    <x:row r="484" ht="120" customHeight="1">
      <x:c r="A484" s="33" t="str">
        <x:v>R-040</x:v>
      </x:c>
      <x:c r="B484" s="33" t="str">
        <x:v>Review batch</x:v>
      </x:c>
      <x:c r="C484" s="33" t="str">
        <x:v>Revision notes</x:v>
      </x:c>
      <x:c r="D484" s="33" t="str">
        <x:v>Cause, event and impact separated; wording aligned to pandemic onset. Source evidence and controls remain unverified.</x:v>
      </x:c>
      <x:c r="E484" s="33" t="str">
        <x:v>Cause, event and impact separated; wording aligned to pandemic onset. Source evidence and controls remain unverified. Decisions applied: D11; D12–D14. See Decision Log for specific before/after values.</x:v>
      </x:c>
      <x:c r="F484" s="33" t="str">
        <x:v>Applied in project review</x:v>
      </x:c>
      <x:c r="G484" s="43" t="d">
        <x:v>2026-10-18T00:00:00.000Z</x:v>
      </x:c>
    </x:row>
    <x:row r="485" ht="120" customHeight="1">
      <x:c r="A485" s="33" t="str">
        <x:v>R-041</x:v>
      </x:c>
      <x:c r="B485" s="33" t="str">
        <x:v>D13</x:v>
      </x:c>
      <x:c r="C485" s="33" t="str">
        <x:v>Likelihood horizon</x:v>
      </x:c>
      <x:c r="D485" s="33" t="str">
        <x:v>Initial three months</x:v>
      </x:c>
      <x:c r="E485" s="33" t="str">
        <x:v>2020-04-01 to 2020-06-30</x:v>
      </x:c>
      <x:c r="F485" s="33" t="str">
        <x:v>Applied in project review</x:v>
      </x:c>
      <x:c r="G485" s="43" t="d">
        <x:v>2026-10-18T00:00:00.000Z</x:v>
      </x:c>
    </x:row>
    <x:row r="486" ht="120" customHeight="1">
      <x:c r="A486" s="33" t="str">
        <x:v>R-041</x:v>
      </x:c>
      <x:c r="B486" s="33" t="str">
        <x:v>D12</x:v>
      </x:c>
      <x:c r="C486" s="33" t="str">
        <x:v>Existing controls</x:v>
      </x:c>
      <x:c r="D486" s="33" t="str">
        <x:v>No specific market or group-exposure control is evidenced in the supplied controls assessment.</x:v>
      </x:c>
      <x:c r="E486" s="33" t="str">
        <x:v>Assumption from Sam: financial modelling is in use for funds and expenditure. The case confirms financial activities, not this control.</x:v>
      </x:c>
      <x:c r="F486" s="33" t="str">
        <x:v>Applied in project review</x:v>
      </x:c>
      <x:c r="G486" s="43" t="d">
        <x:v>2026-10-18T00:00:00.000Z</x:v>
      </x:c>
    </x:row>
    <x:row r="487" ht="120" customHeight="1">
      <x:c r="A487" s="33" t="str">
        <x:v>R-041</x:v>
      </x:c>
      <x:c r="B487" s="33" t="str">
        <x:v>D12</x:v>
      </x:c>
      <x:c r="C487" s="33" t="str">
        <x:v>Control evidence status</x:v>
      </x:c>
      <x:c r="D487" s="33" t="str">
        <x:v>Not evidenced in supplied material; absence is not confirmed.</x:v>
      </x:c>
      <x:c r="E487" s="33" t="str">
        <x:v>Mixed evidence: case arrangements plus explicit team assumptions; see Evidence and experience.</x:v>
      </x:c>
      <x:c r="F487" s="33" t="str">
        <x:v>Applied in project review</x:v>
      </x:c>
      <x:c r="G487" s="43" t="d">
        <x:v>2026-10-18T00:00:00.000Z</x:v>
      </x:c>
    </x:row>
    <x:row r="488" ht="120" customHeight="1">
      <x:c r="A488" s="33" t="str">
        <x:v>R-041</x:v>
      </x:c>
      <x:c r="B488" s="33" t="str">
        <x:v>D12</x:v>
      </x:c>
      <x:c r="C488" s="33" t="str">
        <x:v>Control effectiveness</x:v>
      </x:c>
      <x:c r="D488" s="33" t="str">
        <x:v>Effectiveness is not demonstrated. Portfolio exposures, stress tests and financial resilience are unverified.</x:v>
      </x:c>
      <x:c r="E488" s="33" t="str">
        <x:v>Modelling can identify pressure but does not provide cash, prevent losses or prove scenario coverage. Effectiveness is unverified.</x:v>
      </x:c>
      <x:c r="F488" s="33" t="str">
        <x:v>Applied in project review</x:v>
      </x:c>
      <x:c r="G488" s="43" t="d">
        <x:v>2026-10-18T00:00:00.000Z</x:v>
      </x:c>
    </x:row>
    <x:row r="489" ht="120" customHeight="1">
      <x:c r="A489" s="33" t="str">
        <x:v>R-041</x:v>
      </x:c>
      <x:c r="B489" s="33" t="str">
        <x:v>D12; D13</x:v>
      </x:c>
      <x:c r="C489" s="33" t="str">
        <x:v>Evidence and experience</x:v>
      </x:c>
      <x:c r="D489" s="33" t="str">
        <x:v>See Source Records for R-041 and Source Text for the original references. No verified internal incident history or empirical probability estimate is supplied. Historical examples require a scenario-date and relevance check before use.</x:v>
      </x:c>
      <x:c r="E489" s="33" t="str">
        <x:v>Business outline(1).pdf: The case confirms premium collection and investment activity, but no financial-modelling or liquidity-control specification (pp. 5–6). Team source: Sam’s Existing Controls.docx; original descriptions and examples are preserved by Record ID in Source Records. No internal incident history is verified. Only evidence available by 2020-04-01 can support the initial assessment.</x:v>
      </x:c>
      <x:c r="F489" s="33" t="str">
        <x:v>Applied in project review</x:v>
      </x:c>
      <x:c r="G489" s="43" t="d">
        <x:v>2026-10-18T00:00:00.000Z</x:v>
      </x:c>
    </x:row>
    <x:row r="490" ht="120" customHeight="1">
      <x:c r="A490" s="33" t="str">
        <x:v>R-041</x:v>
      </x:c>
      <x:c r="B490" s="33" t="str">
        <x:v>D12 draft</x:v>
      </x:c>
      <x:c r="C490" s="33" t="str">
        <x:v>Tolerability reasoning</x:v>
      </x:c>
      <x:c r="D490" s="33" t="str">
        <x:v>The supplied information does not establish the remaining exposure after controls. Portfolio exposures, stress tests and financial resilience are unverified. A tolerability decision must consider the agreed appetite and the need to sustain investment performance and funding.</x:v>
      </x:c>
      <x:c r="E490" s="33" t="str">
        <x:v>Awaiting assessment: the case does not quantify the exposure and available financial capacity sufficiently to decide whether the remaining risk fits appetite. Portfolio exposures, stress tests and financial resilience are unverified. Continued operations require this assessment; a High or Extreme inherent rating alone is not a tolerability decision.</x:v>
      </x:c>
      <x:c r="F490" s="33" t="str">
        <x:v>Applied in project review</x:v>
      </x:c>
      <x:c r="G490" s="43" t="d">
        <x:v>2026-10-18T00:00:00.000Z</x:v>
      </x:c>
    </x:row>
    <x:row r="491" ht="120" customHeight="1">
      <x:c r="A491" s="33" t="str">
        <x:v>R-041</x:v>
      </x:c>
      <x:c r="B491" s="33" t="str">
        <x:v>D14</x:v>
      </x:c>
      <x:c r="C491" s="33" t="str">
        <x:v>Risk owner</x:v>
      </x:c>
      <x:c r="D491" s="33" t="str">
        <x:v>Unassigned</x:v>
      </x:c>
      <x:c r="E491" s="33" t="str">
        <x:v>Finance Manager</x:v>
      </x:c>
      <x:c r="F491" s="33" t="str">
        <x:v>Applied in project review</x:v>
      </x:c>
      <x:c r="G491" s="43" t="d">
        <x:v>2026-10-18T00:00:00.000Z</x:v>
      </x:c>
    </x:row>
    <x:row r="492" ht="120" customHeight="1">
      <x:c r="A492" s="33" t="str">
        <x:v>R-041</x:v>
      </x:c>
      <x:c r="B492" s="33" t="str">
        <x:v>D11 / D12</x:v>
      </x:c>
      <x:c r="C492" s="33" t="str">
        <x:v>Assessment status</x:v>
      </x:c>
      <x:c r="D492" s="33" t="str">
        <x:v>Draft for review</x:v>
      </x:c>
      <x:c r="E492" s="33" t="str">
        <x:v>Revised draft for review</x:v>
      </x:c>
      <x:c r="F492" s="33" t="str">
        <x:v>Applied in project review</x:v>
      </x:c>
      <x:c r="G492" s="43" t="d">
        <x:v>2026-10-18T00:00:00.000Z</x:v>
      </x:c>
    </x:row>
    <x:row r="493" ht="120" customHeight="1">
      <x:c r="A493" s="33" t="str">
        <x:v>R-041</x:v>
      </x:c>
      <x:c r="B493" s="33" t="str">
        <x:v>D13</x:v>
      </x:c>
      <x:c r="C493" s="33" t="str">
        <x:v>Longer-term exposure</x:v>
      </x:c>
      <x:c r="D493" s="33" t="str">
        <x:v>Long-duration funding effects may build beyond three months. Review longer-term sensitivity separately; do not interpret the three-month likelihood as lifetime exposure.</x:v>
      </x:c>
      <x:c r="E493" s="33" t="str">
        <x:v>Long-duration funding effects may build beyond three months. Review longer-term sensitivity separately; do not interpret the three-month likelihood as lifetime exposure. Initial likelihood horizon ends 2020-06-30; later information belongs to dated reviews.</x:v>
      </x:c>
      <x:c r="F493" s="33" t="str">
        <x:v>Applied in project review</x:v>
      </x:c>
      <x:c r="G493" s="43" t="d">
        <x:v>2026-10-18T00:00:00.000Z</x:v>
      </x:c>
    </x:row>
    <x:row r="494" ht="120" customHeight="1">
      <x:c r="A494" s="33" t="str">
        <x:v>R-041</x:v>
      </x:c>
      <x:c r="B494" s="33" t="str">
        <x:v>Review batch</x:v>
      </x:c>
      <x:c r="C494" s="33" t="str">
        <x:v>Revision notes</x:v>
      </x:c>
      <x:c r="D494" s="33" t="str">
        <x:v>Cause, event and impact separated; wording aligned to pandemic onset. Source evidence and controls remain unverified. Proposed scores 5/4 to 4/4; see assessment reasoning.</x:v>
      </x:c>
      <x:c r="E494" s="33" t="str">
        <x:v>Cause, event and impact separated; wording aligned to pandemic onset. Source evidence and controls remain unverified. Proposed scores 5/4 to 4/4; see assessment reasoning. Decisions applied: D11; D12–D14. See Decision Log for specific before/after values.</x:v>
      </x:c>
      <x:c r="F494" s="33" t="str">
        <x:v>Applied in project review</x:v>
      </x:c>
      <x:c r="G494" s="43" t="d">
        <x:v>2026-10-18T00:00:00.000Z</x:v>
      </x:c>
    </x:row>
    <x:row r="495" ht="120" customHeight="1">
      <x:c r="A495" s="33" t="str">
        <x:v>R-042</x:v>
      </x:c>
      <x:c r="B495" s="33" t="str">
        <x:v>D13</x:v>
      </x:c>
      <x:c r="C495" s="33" t="str">
        <x:v>Likelihood horizon</x:v>
      </x:c>
      <x:c r="D495" s="33" t="str">
        <x:v>Initial three months</x:v>
      </x:c>
      <x:c r="E495" s="33" t="str">
        <x:v>2020-04-01 to 2020-06-30</x:v>
      </x:c>
      <x:c r="F495" s="33" t="str">
        <x:v>Applied in project review</x:v>
      </x:c>
      <x:c r="G495" s="43" t="d">
        <x:v>2026-10-18T00:00:00.000Z</x:v>
      </x:c>
    </x:row>
    <x:row r="496" ht="120" customHeight="1">
      <x:c r="A496" s="33" t="str">
        <x:v>R-042</x:v>
      </x:c>
      <x:c r="B496" s="33" t="str">
        <x:v>D12</x:v>
      </x:c>
      <x:c r="C496" s="33" t="str">
        <x:v>Existing controls</x:v>
      </x:c>
      <x:c r="D496" s="33" t="str">
        <x:v>No specific market or group-exposure control is evidenced in the supplied controls assessment.</x:v>
      </x:c>
      <x:c r="E496" s="33" t="str">
        <x:v>Case: third-party service relationships, including backup, hosting, security advice and legal services. No supplier continuity assurance is specified.</x:v>
      </x:c>
      <x:c r="F496" s="33" t="str">
        <x:v>Applied in project review</x:v>
      </x:c>
      <x:c r="G496" s="43" t="d">
        <x:v>2026-10-18T00:00:00.000Z</x:v>
      </x:c>
    </x:row>
    <x:row r="497" ht="120" customHeight="1">
      <x:c r="A497" s="33" t="str">
        <x:v>R-042</x:v>
      </x:c>
      <x:c r="B497" s="33" t="str">
        <x:v>D12</x:v>
      </x:c>
      <x:c r="C497" s="33" t="str">
        <x:v>Control evidence status</x:v>
      </x:c>
      <x:c r="D497" s="33" t="str">
        <x:v>Not evidenced in supplied material; absence is not confirmed.</x:v>
      </x:c>
      <x:c r="E497" s="33" t="str">
        <x:v>Mixed evidence: case arrangements plus explicit team assumptions; see Evidence and experience.</x:v>
      </x:c>
      <x:c r="F497" s="33" t="str">
        <x:v>Applied in project review</x:v>
      </x:c>
      <x:c r="G497" s="43" t="d">
        <x:v>2026-10-18T00:00:00.000Z</x:v>
      </x:c>
    </x:row>
    <x:row r="498" ht="120" customHeight="1">
      <x:c r="A498" s="33" t="str">
        <x:v>R-042</x:v>
      </x:c>
      <x:c r="B498" s="33" t="str">
        <x:v>D12</x:v>
      </x:c>
      <x:c r="C498" s="33" t="str">
        <x:v>Control effectiveness</x:v>
      </x:c>
      <x:c r="D498" s="33" t="str">
        <x:v>Effectiveness is not demonstrated. Clarify nonfinancial group dependence; consider merging with R-002 if no distinct event remains.</x:v>
      </x:c>
      <x:c r="E498" s="33" t="str">
        <x:v>Access to providers is not proof of resilience. Contracts, alternative capacity and service continuity need assessment.</x:v>
      </x:c>
      <x:c r="F498" s="33" t="str">
        <x:v>Applied in project review</x:v>
      </x:c>
      <x:c r="G498" s="43" t="d">
        <x:v>2026-10-18T00:00:00.000Z</x:v>
      </x:c>
    </x:row>
    <x:row r="499" ht="120" customHeight="1">
      <x:c r="A499" s="33" t="str">
        <x:v>R-042</x:v>
      </x:c>
      <x:c r="B499" s="33" t="str">
        <x:v>D12; D13</x:v>
      </x:c>
      <x:c r="C499" s="33" t="str">
        <x:v>Evidence and experience</x:v>
      </x:c>
      <x:c r="D499" s="33" t="str">
        <x:v>See Source Records for R-042 and Source Text for the original references. No verified internal incident history or empirical probability estimate is supplied. Historical examples require a scenario-date and relevance check before use.</x:v>
      </x:c>
      <x:c r="E499"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499" s="33" t="str">
        <x:v>Applied in project review</x:v>
      </x:c>
      <x:c r="G499" s="43" t="d">
        <x:v>2026-10-18T00:00:00.000Z</x:v>
      </x:c>
    </x:row>
    <x:row r="500" ht="120" customHeight="1">
      <x:c r="A500" s="33" t="str">
        <x:v>R-042</x:v>
      </x:c>
      <x:c r="B500" s="33" t="str">
        <x:v>D12 draft</x:v>
      </x:c>
      <x:c r="C500" s="33" t="str">
        <x:v>Tolerability</x:v>
      </x:c>
      <x:c r="D500" s="33" t="str">
        <x:v>Awaiting assessment</x:v>
      </x:c>
      <x:c r="E500" s="33" t="str">
        <x:v>Tolerable</x:v>
      </x:c>
      <x:c r="F500" s="33" t="str">
        <x:v>Applied in project review</x:v>
      </x:c>
      <x:c r="G500" s="43" t="d">
        <x:v>2026-10-18T00:00:00.000Z</x:v>
      </x:c>
    </x:row>
    <x:row r="501" ht="120" customHeight="1">
      <x:c r="A501" s="33" t="str">
        <x:v>R-042</x:v>
      </x:c>
      <x:c r="B501" s="33" t="str">
        <x:v>D12 draft</x:v>
      </x:c>
      <x:c r="C501" s="33" t="str">
        <x:v>Tolerability reasoning</x:v>
      </x:c>
      <x:c r="D501" s="33" t="str">
        <x:v>The supplied information does not establish the remaining exposure after controls. Clarify nonfinancial group dependence; consider merging with R-002 if no distinct event remains. A tolerability decision must consider the agreed appetite and the need to sustain group support and strategic flexibility.</x:v>
      </x:c>
      <x:c r="E501" s="33" t="str">
        <x:v>Tolerable provisionally only on the assumption that internal capability or alternative specialists can sustain essential work without Tiva assistance. If essential dependence is established, reassess magnitude and tolerability.</x:v>
      </x:c>
      <x:c r="F501" s="33" t="str">
        <x:v>Applied in project review</x:v>
      </x:c>
      <x:c r="G501" s="43" t="d">
        <x:v>2026-10-18T00:00:00.000Z</x:v>
      </x:c>
    </x:row>
    <x:row r="502" ht="120" customHeight="1">
      <x:c r="A502" s="33" t="str">
        <x:v>R-042</x:v>
      </x:c>
      <x:c r="B502" s="33" t="str">
        <x:v>D14</x:v>
      </x:c>
      <x:c r="C502" s="33" t="str">
        <x:v>Risk owner</x:v>
      </x:c>
      <x:c r="D502" s="33" t="str">
        <x:v>Unassigned</x:v>
      </x:c>
      <x:c r="E502" s="33" t="str">
        <x:v>Designated Executive Director</x:v>
      </x:c>
      <x:c r="F502" s="33" t="str">
        <x:v>Applied in project review</x:v>
      </x:c>
      <x:c r="G502" s="43" t="d">
        <x:v>2026-10-18T00:00:00.000Z</x:v>
      </x:c>
    </x:row>
    <x:row r="503" ht="120" customHeight="1">
      <x:c r="A503" s="33" t="str">
        <x:v>R-042</x:v>
      </x:c>
      <x:c r="B503" s="33" t="str">
        <x:v>D11 / D12</x:v>
      </x:c>
      <x:c r="C503" s="33" t="str">
        <x:v>Assessment status</x:v>
      </x:c>
      <x:c r="D503" s="33" t="str">
        <x:v>Draft for review</x:v>
      </x:c>
      <x:c r="E503" s="33" t="str">
        <x:v>Revised draft for review</x:v>
      </x:c>
      <x:c r="F503" s="33" t="str">
        <x:v>Applied in project review</x:v>
      </x:c>
      <x:c r="G503" s="43" t="d">
        <x:v>2026-10-18T00:00:00.000Z</x:v>
      </x:c>
    </x:row>
    <x:row r="504" ht="120" customHeight="1">
      <x:c r="A504" s="33" t="str">
        <x:v>R-042</x:v>
      </x:c>
      <x:c r="B504" s="33" t="str">
        <x:v>D13</x:v>
      </x:c>
      <x:c r="C504" s="33" t="str">
        <x:v>Longer-term exposure</x:v>
      </x:c>
      <x:c r="D504" s="33" t="str">
        <x:v>Consequences may extend beyond three months; reassess during weekly reviews.</x:v>
      </x:c>
      <x:c r="E504" s="33" t="str">
        <x:v>Consequences may extend beyond three months; reassess during weekly reviews. Initial likelihood horizon ends 2020-06-30; later information belongs to dated reviews.</x:v>
      </x:c>
      <x:c r="F504" s="33" t="str">
        <x:v>Applied in project review</x:v>
      </x:c>
      <x:c r="G504" s="43" t="d">
        <x:v>2026-10-18T00:00:00.000Z</x:v>
      </x:c>
    </x:row>
    <x:row r="505" ht="120" customHeight="1">
      <x:c r="A505" s="33" t="str">
        <x:v>R-042</x:v>
      </x:c>
      <x:c r="B505" s="33" t="str">
        <x:v>Review batch</x:v>
      </x:c>
      <x:c r="C505" s="33" t="str">
        <x:v>Revision notes</x:v>
      </x:c>
      <x:c r="D505" s="33" t="str">
        <x:v>Cause, event and impact separated; wording aligned to pandemic onset. Source evidence and controls remain unverified.</x:v>
      </x:c>
      <x:c r="E505" s="33" t="str">
        <x:v>Cause, event and impact separated; wording aligned to pandemic onset. Source evidence and controls remain unverified. Decisions applied: D07; D11; D12–D14. See Decision Log for specific before/after values.</x:v>
      </x:c>
      <x:c r="F505" s="33" t="str">
        <x:v>Applied in project review</x:v>
      </x:c>
      <x:c r="G505" s="43" t="d">
        <x:v>2026-10-18T00:00:00.000Z</x:v>
      </x:c>
    </x:row>
    <x:row r="506" ht="120" customHeight="1">
      <x:c r="A506" s="33" t="str">
        <x:v>R-043</x:v>
      </x:c>
      <x:c r="B506" s="33" t="str">
        <x:v>D13</x:v>
      </x:c>
      <x:c r="C506" s="33" t="str">
        <x:v>Likelihood horizon</x:v>
      </x:c>
      <x:c r="D506" s="33" t="str">
        <x:v>Initial three months</x:v>
      </x:c>
      <x:c r="E506" s="33" t="str">
        <x:v>2020-04-01 to 2020-06-30</x:v>
      </x:c>
      <x:c r="F506" s="33" t="str">
        <x:v>Applied in project review</x:v>
      </x:c>
      <x:c r="G506" s="43" t="d">
        <x:v>2026-10-18T00:00:00.000Z</x:v>
      </x:c>
    </x:row>
    <x:row r="507" ht="120" customHeight="1">
      <x:c r="A507" s="33" t="str">
        <x:v>R-043</x:v>
      </x:c>
      <x:c r="B507" s="33" t="str">
        <x:v>D12</x:v>
      </x:c>
      <x:c r="C507" s="33" t="str">
        <x:v>Existing controls</x:v>
      </x:c>
      <x:c r="D507" s="33" t="str">
        <x:v>No specific market or group-exposure control is evidenced in the supplied controls assessment.</x:v>
      </x:c>
      <x:c r="E507" s="33" t="str">
        <x:v>Assumption from Sam: financial modelling, market research and customer incentives operate. None is specified as a tested control in the case.</x:v>
      </x:c>
      <x:c r="F507" s="33" t="str">
        <x:v>Applied in project review</x:v>
      </x:c>
      <x:c r="G507" s="43" t="d">
        <x:v>2026-10-18T00:00:00.000Z</x:v>
      </x:c>
    </x:row>
    <x:row r="508" ht="120" customHeight="1">
      <x:c r="A508" s="33" t="str">
        <x:v>R-043</x:v>
      </x:c>
      <x:c r="B508" s="33" t="str">
        <x:v>D12</x:v>
      </x:c>
      <x:c r="C508" s="33" t="str">
        <x:v>Control evidence status</x:v>
      </x:c>
      <x:c r="D508" s="33" t="str">
        <x:v>Not evidenced in supplied material; absence is not confirmed.</x:v>
      </x:c>
      <x:c r="E508" s="33" t="str">
        <x:v>Mixed evidence: case arrangements plus explicit team assumptions; see Evidence and experience.</x:v>
      </x:c>
      <x:c r="F508" s="33" t="str">
        <x:v>Applied in project review</x:v>
      </x:c>
      <x:c r="G508" s="43" t="d">
        <x:v>2026-10-18T00:00:00.000Z</x:v>
      </x:c>
    </x:row>
    <x:row r="509" ht="120" customHeight="1">
      <x:c r="A509" s="33" t="str">
        <x:v>R-043</x:v>
      </x:c>
      <x:c r="B509" s="33" t="str">
        <x:v>D12</x:v>
      </x:c>
      <x:c r="C509" s="33" t="str">
        <x:v>Control effectiveness</x:v>
      </x:c>
      <x:c r="D509" s="33" t="str">
        <x:v>Effectiveness is not demonstrated. Confirm scenario date, relevant programs and whether this warrants a separate risk record.</x:v>
      </x:c>
      <x:c r="E509" s="33" t="str">
        <x:v>These may support adaptation and retention, but cannot prevent customers’ financial difficulties or prove revenue resilience.</x:v>
      </x:c>
      <x:c r="F509" s="33" t="str">
        <x:v>Applied in project review</x:v>
      </x:c>
      <x:c r="G509" s="43" t="d">
        <x:v>2026-10-18T00:00:00.000Z</x:v>
      </x:c>
    </x:row>
    <x:row r="510" ht="120" customHeight="1">
      <x:c r="A510" s="33" t="str">
        <x:v>R-043</x:v>
      </x:c>
      <x:c r="B510" s="33" t="str">
        <x:v>D12; D13</x:v>
      </x:c>
      <x:c r="C510" s="33" t="str">
        <x:v>Evidence and experience</x:v>
      </x:c>
      <x:c r="D510" s="33" t="str">
        <x:v>See Source Records for R-043 and Source Text for the original references. No verified internal incident history or empirical probability estimate is supplied. Historical examples require a scenario-date and relevance check before use.</x:v>
      </x:c>
      <x:c r="E510" s="33"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510" s="33" t="str">
        <x:v>Applied in project review</x:v>
      </x:c>
      <x:c r="G510" s="43" t="d">
        <x:v>2026-10-18T00:00:00.000Z</x:v>
      </x:c>
    </x:row>
    <x:row r="511" ht="120" customHeight="1">
      <x:c r="A511" s="33" t="str">
        <x:v>R-043</x:v>
      </x:c>
      <x:c r="B511" s="33" t="str">
        <x:v>D14</x:v>
      </x:c>
      <x:c r="C511" s="33" t="str">
        <x:v>Risk owner</x:v>
      </x:c>
      <x:c r="D511" s="33" t="str">
        <x:v>Unassigned</x:v>
      </x:c>
      <x:c r="E511" s="33" t="str">
        <x:v>Marketing Manager</x:v>
      </x:c>
      <x:c r="F511" s="33" t="str">
        <x:v>Applied in project review</x:v>
      </x:c>
      <x:c r="G511" s="43" t="d">
        <x:v>2026-10-18T00:00:00.000Z</x:v>
      </x:c>
    </x:row>
    <x:row r="512" ht="120" customHeight="1">
      <x:c r="A512" s="33" t="str">
        <x:v>R-043</x:v>
      </x:c>
      <x:c r="B512" s="33" t="str">
        <x:v>D11 / D12</x:v>
      </x:c>
      <x:c r="C512" s="33" t="str">
        <x:v>Assessment status</x:v>
      </x:c>
      <x:c r="D512" s="33" t="str">
        <x:v>Draft for review</x:v>
      </x:c>
      <x:c r="E512" s="33" t="str">
        <x:v>Revised draft for review</x:v>
      </x:c>
      <x:c r="F512" s="33" t="str">
        <x:v>Applied in project review</x:v>
      </x:c>
      <x:c r="G512" s="43" t="d">
        <x:v>2026-10-18T00:00:00.000Z</x:v>
      </x:c>
    </x:row>
    <x:row r="513" ht="120" customHeight="1">
      <x:c r="A513" s="33" t="str">
        <x:v>R-043</x:v>
      </x:c>
      <x:c r="B513" s="33" t="str">
        <x:v>D13</x:v>
      </x:c>
      <x:c r="C513" s="33" t="str">
        <x:v>Longer-term exposure</x:v>
      </x:c>
      <x:c r="D513" s="33" t="str">
        <x:v>Consequences may extend beyond three months; reassess during weekly reviews.</x:v>
      </x:c>
      <x:c r="E513" s="33" t="str">
        <x:v>Consequences may extend beyond three months; reassess during weekly reviews. Initial likelihood horizon ends 2020-06-30; later information belongs to dated reviews.</x:v>
      </x:c>
      <x:c r="F513" s="33" t="str">
        <x:v>Applied in project review</x:v>
      </x:c>
      <x:c r="G513" s="43" t="d">
        <x:v>2026-10-18T00:00:00.000Z</x:v>
      </x:c>
    </x:row>
    <x:row r="514" ht="120" customHeight="1">
      <x:c r="A514" s="33" t="str">
        <x:v>R-043</x:v>
      </x:c>
      <x:c r="B514" s="33" t="str">
        <x:v>D04 / D09</x:v>
      </x:c>
      <x:c r="C514" s="33" t="str">
        <x:v>Assessment status</x:v>
      </x:c>
      <x:c r="D514" s="33" t="str">
        <x:v>Revised draft for review</x:v>
      </x:c>
      <x:c r="E514" s="33" t="str">
        <x:v>Consolidated</x:v>
      </x:c>
      <x:c r="F514" s="33" t="str">
        <x:v>Applied in project review</x:v>
      </x:c>
      <x:c r="G514" s="43" t="d">
        <x:v>2026-10-18T00:00:00.000Z</x:v>
      </x:c>
    </x:row>
    <x:row r="515" ht="120" customHeight="1">
      <x:c r="A515" s="33" t="str">
        <x:v>R-043</x:v>
      </x:c>
      <x:c r="B515" s="33" t="str">
        <x:v>D04 / D09</x:v>
      </x:c>
      <x:c r="C515" s="33" t="str">
        <x:v>Likelihood</x:v>
      </x:c>
      <x:c r="D515" s="33" t="n">
        <x:v>3</x:v>
      </x:c>
      <x:c r="E515" s="33"/>
      <x:c r="F515" s="33" t="str">
        <x:v>Applied in project review</x:v>
      </x:c>
      <x:c r="G515" s="43" t="d">
        <x:v>2026-10-18T00:00:00.000Z</x:v>
      </x:c>
    </x:row>
    <x:row r="516" ht="120" customHeight="1">
      <x:c r="A516" s="33" t="str">
        <x:v>R-043</x:v>
      </x:c>
      <x:c r="B516" s="33" t="str">
        <x:v>D04 / D09</x:v>
      </x:c>
      <x:c r="C516" s="33" t="str">
        <x:v>Magnitude</x:v>
      </x:c>
      <x:c r="D516" s="33" t="n">
        <x:v>3</x:v>
      </x:c>
      <x:c r="E516" s="33"/>
      <x:c r="F516" s="33" t="str">
        <x:v>Applied in project review</x:v>
      </x:c>
      <x:c r="G516" s="43" t="d">
        <x:v>2026-10-18T00:00:00.000Z</x:v>
      </x:c>
    </x:row>
    <x:row r="517" ht="120" customHeight="1">
      <x:c r="A517" s="33" t="str">
        <x:v>R-043</x:v>
      </x:c>
      <x:c r="B517" s="33" t="str">
        <x:v>D04 / D09</x:v>
      </x:c>
      <x:c r="C517" s="33" t="str">
        <x:v>Tolerability</x:v>
      </x:c>
      <x:c r="D517" s="33" t="str">
        <x:v>Awaiting assessment</x:v>
      </x:c>
      <x:c r="E517" s="33" t="str">
        <x:v>Not assessed separately</x:v>
      </x:c>
      <x:c r="F517" s="33" t="str">
        <x:v>Applied in project review</x:v>
      </x:c>
      <x:c r="G517" s="43" t="d">
        <x:v>2026-10-18T00:00:00.000Z</x:v>
      </x:c>
    </x:row>
    <x:row r="518" ht="120" customHeight="1">
      <x:c r="A518" s="33" t="str">
        <x:v>R-043</x:v>
      </x:c>
      <x:c r="B518" s="33" t="str">
        <x:v>D04 / D09</x:v>
      </x:c>
      <x:c r="C518" s="33" t="str">
        <x:v>Tolerability reasoning</x:v>
      </x:c>
      <x:c r="D518" s="33" t="str">
        <x:v>The supplied information does not establish the remaining exposure after controls. Confirm scenario date, relevant programs and whether this warrants a separate risk record. A tolerability decision must consider the agreed appetite and the need to sustain customer income and premium continuity.</x:v>
      </x:c>
      <x:c r="E518" s="33" t="str">
        <x:v>Consolidated, not resolved. Current assessment is held in R-037; R-038. Original content and ratings remain in source/history sheets.</x:v>
      </x:c>
      <x:c r="F518" s="33" t="str">
        <x:v>Applied in project review</x:v>
      </x:c>
      <x:c r="G518" s="43" t="d">
        <x:v>2026-10-18T00:00:00.000Z</x:v>
      </x:c>
    </x:row>
    <x:row r="519" ht="120" customHeight="1">
      <x:c r="A519" s="33" t="str">
        <x:v>R-043</x:v>
      </x:c>
      <x:c r="B519" s="33" t="str">
        <x:v>Review batch</x:v>
      </x:c>
      <x:c r="C519" s="33" t="str">
        <x:v>Revision notes</x:v>
      </x:c>
      <x:c r="D519" s="33" t="str">
        <x:v>Cause, event and impact separated; wording aligned to pandemic onset. Source evidence and controls remain unverified.</x:v>
      </x:c>
      <x:c r="E519" s="33" t="str">
        <x:v>Cause, event and impact separated; wording aligned to pandemic onset. Source evidence and controls remain unverified. Decisions applied: D09; D12–D14. See Decision Log for specific before/after values.</x:v>
      </x:c>
      <x:c r="F519" s="33" t="str">
        <x:v>Applied in project review</x:v>
      </x:c>
      <x:c r="G519" s="43" t="d">
        <x:v>2026-10-18T00:00:00.000Z</x:v>
      </x:c>
    </x:row>
    <x:row r="520" ht="120" customHeight="1">
      <x:c r="A520" s="33" t="str">
        <x:v>R-044</x:v>
      </x:c>
      <x:c r="B520" s="33" t="str">
        <x:v>D13</x:v>
      </x:c>
      <x:c r="C520" s="33" t="str">
        <x:v>Likelihood horizon</x:v>
      </x:c>
      <x:c r="D520" s="33" t="str">
        <x:v>Initial three months</x:v>
      </x:c>
      <x:c r="E520" s="33" t="str">
        <x:v>2020-04-01 to 2020-06-30</x:v>
      </x:c>
      <x:c r="F520" s="33" t="str">
        <x:v>Applied in project review</x:v>
      </x:c>
      <x:c r="G520" s="43" t="d">
        <x:v>2026-10-18T00:00:00.000Z</x:v>
      </x:c>
    </x:row>
    <x:row r="521" ht="120" customHeight="1">
      <x:c r="A521" s="33" t="str">
        <x:v>R-044</x:v>
      </x:c>
      <x:c r="B521" s="33" t="str">
        <x:v>D12</x:v>
      </x:c>
      <x:c r="C521" s="33" t="str">
        <x:v>Existing controls</x:v>
      </x:c>
      <x:c r="D521" s="33" t="str">
        <x:v>No specific claims-supply continuity control is evidenced in the supplied controls assessment.</x:v>
      </x:c>
      <x:c r="E521" s="33" t="str">
        <x:v>Case: third-party service relationships, including backup, hosting, security advice and legal services. No supplier continuity assurance is specified.</x:v>
      </x:c>
      <x:c r="F521" s="33" t="str">
        <x:v>Applied in project review</x:v>
      </x:c>
      <x:c r="G521" s="43" t="d">
        <x:v>2026-10-18T00:00:00.000Z</x:v>
      </x:c>
    </x:row>
    <x:row r="522" ht="120" customHeight="1">
      <x:c r="A522" s="33" t="str">
        <x:v>R-044</x:v>
      </x:c>
      <x:c r="B522" s="33" t="str">
        <x:v>D12</x:v>
      </x:c>
      <x:c r="C522" s="33" t="str">
        <x:v>Control evidence status</x:v>
      </x:c>
      <x:c r="D522" s="33" t="str">
        <x:v>Not evidenced in supplied material; absence is not confirmed.</x:v>
      </x:c>
      <x:c r="E522" s="33" t="str">
        <x:v>Mixed evidence: case arrangements plus explicit team assumptions; see Evidence and experience.</x:v>
      </x:c>
      <x:c r="F522" s="33" t="str">
        <x:v>Applied in project review</x:v>
      </x:c>
      <x:c r="G522" s="43" t="d">
        <x:v>2026-10-18T00:00:00.000Z</x:v>
      </x:c>
    </x:row>
    <x:row r="523" ht="120" customHeight="1">
      <x:c r="A523" s="33" t="str">
        <x:v>R-044</x:v>
      </x:c>
      <x:c r="B523" s="33" t="str">
        <x:v>D12</x:v>
      </x:c>
      <x:c r="C523" s="33" t="str">
        <x:v>Control effectiveness</x:v>
      </x:c>
      <x:c r="D523" s="33" t="str">
        <x:v>Effectiveness is not demonstrated. Repair capacity, cost forecasts, alternatives and settlement arrangements are unverified.</x:v>
      </x:c>
      <x:c r="E523" s="33" t="str">
        <x:v>Access to providers is not proof of resilience. Contracts, alternative capacity and service continuity need assessment.</x:v>
      </x:c>
      <x:c r="F523" s="33" t="str">
        <x:v>Applied in project review</x:v>
      </x:c>
      <x:c r="G523" s="43" t="d">
        <x:v>2026-10-18T00:00:00.000Z</x:v>
      </x:c>
    </x:row>
    <x:row r="524" ht="120" customHeight="1">
      <x:c r="A524" s="33" t="str">
        <x:v>R-044</x:v>
      </x:c>
      <x:c r="B524" s="33" t="str">
        <x:v>D12; D13</x:v>
      </x:c>
      <x:c r="C524" s="33" t="str">
        <x:v>Evidence and experience</x:v>
      </x:c>
      <x:c r="D524" s="33" t="str">
        <x:v>See Source Records for R-044 and Source Text for the original references. No verified internal incident history or empirical probability estimate is supplied. Historical examples require a scenario-date and relevance check before use.</x:v>
      </x:c>
      <x:c r="E524" s="33" t="str">
        <x:v>Business outline(1).pdf: The case confirms cloud backup, hosting and security consultants (pp. 6–7). Scope, security configuration and successful recovery are unspecified. Team source: Sam’s Existing Controls.docx; original descriptions and examples are preserved by Record ID in Source Records. No internal incident history is verified. Only evidence available by 2020-04-01 can support the initial assessment.</x:v>
      </x:c>
      <x:c r="F524" s="33" t="str">
        <x:v>Applied in project review</x:v>
      </x:c>
      <x:c r="G524" s="43" t="d">
        <x:v>2026-10-18T00:00:00.000Z</x:v>
      </x:c>
    </x:row>
    <x:row r="525" ht="120" customHeight="1">
      <x:c r="A525" s="33" t="str">
        <x:v>R-044</x:v>
      </x:c>
      <x:c r="B525" s="33" t="str">
        <x:v>D12 draft</x:v>
      </x:c>
      <x:c r="C525" s="33" t="str">
        <x:v>Tolerability</x:v>
      </x:c>
      <x:c r="D525" s="33" t="str">
        <x:v>Awaiting assessment</x:v>
      </x:c>
      <x:c r="E525" s="33" t="str">
        <x:v>Tolerable</x:v>
      </x:c>
      <x:c r="F525" s="33" t="str">
        <x:v>Applied in project review</x:v>
      </x:c>
      <x:c r="G525" s="43" t="d">
        <x:v>2026-10-18T00:00:00.000Z</x:v>
      </x:c>
    </x:row>
    <x:row r="526" ht="120" customHeight="1">
      <x:c r="A526" s="33" t="str">
        <x:v>R-044</x:v>
      </x:c>
      <x:c r="B526" s="33" t="str">
        <x:v>D12 draft</x:v>
      </x:c>
      <x:c r="C526" s="33" t="str">
        <x:v>Tolerability reasoning</x:v>
      </x:c>
      <x:c r="D526" s="33" t="str">
        <x:v>The supplied information does not establish the remaining exposure after controls. Repair capacity, cost forecasts, alternatives and settlement arrangements are unverified. A tolerability decision must consider the agreed appetite and the need to sustain claims supply chain.</x:v>
      </x:c>
      <x:c r="E526" s="33" t="str">
        <x:v>Tolerable provisionally for manageable repair delays and cost increases, assuming essential settlement obligations remain achievable and financial capacity can absorb the change. Severe shortages or unacceptable customer harm would overturn this decision.</x:v>
      </x:c>
      <x:c r="F526" s="33" t="str">
        <x:v>Applied in project review</x:v>
      </x:c>
      <x:c r="G526" s="43" t="d">
        <x:v>2026-10-18T00:00:00.000Z</x:v>
      </x:c>
    </x:row>
    <x:row r="527" ht="120" customHeight="1">
      <x:c r="A527" s="33" t="str">
        <x:v>R-044</x:v>
      </x:c>
      <x:c r="B527" s="33" t="str">
        <x:v>D14</x:v>
      </x:c>
      <x:c r="C527" s="33" t="str">
        <x:v>Risk owner</x:v>
      </x:c>
      <x:c r="D527" s="33" t="str">
        <x:v>Unassigned</x:v>
      </x:c>
      <x:c r="E527" s="33" t="str">
        <x:v>Claims Manager</x:v>
      </x:c>
      <x:c r="F527" s="33" t="str">
        <x:v>Applied in project review</x:v>
      </x:c>
      <x:c r="G527" s="43" t="d">
        <x:v>2026-10-18T00:00:00.000Z</x:v>
      </x:c>
    </x:row>
    <x:row r="528" ht="120" customHeight="1">
      <x:c r="A528" s="33" t="str">
        <x:v>R-044</x:v>
      </x:c>
      <x:c r="B528" s="33" t="str">
        <x:v>D11 / D12</x:v>
      </x:c>
      <x:c r="C528" s="33" t="str">
        <x:v>Assessment status</x:v>
      </x:c>
      <x:c r="D528" s="33" t="str">
        <x:v>Draft for review</x:v>
      </x:c>
      <x:c r="E528" s="33" t="str">
        <x:v>Revised draft for review</x:v>
      </x:c>
      <x:c r="F528" s="33" t="str">
        <x:v>Applied in project review</x:v>
      </x:c>
      <x:c r="G528" s="43" t="d">
        <x:v>2026-10-18T00:00:00.000Z</x:v>
      </x:c>
    </x:row>
    <x:row r="529" ht="120" customHeight="1">
      <x:c r="A529" s="33" t="str">
        <x:v>R-044</x:v>
      </x:c>
      <x:c r="B529" s="33" t="str">
        <x:v>D13</x:v>
      </x:c>
      <x:c r="C529" s="33" t="str">
        <x:v>Longer-term exposure</x:v>
      </x:c>
      <x:c r="D529" s="33" t="str">
        <x:v>Consequences may extend beyond three months; reassess during weekly reviews.</x:v>
      </x:c>
      <x:c r="E529" s="33" t="str">
        <x:v>Consequences may extend beyond three months; reassess during weekly reviews. Initial likelihood horizon ends 2020-06-30; later information belongs to dated reviews.</x:v>
      </x:c>
      <x:c r="F529" s="33" t="str">
        <x:v>Applied in project review</x:v>
      </x:c>
      <x:c r="G529" s="43" t="d">
        <x:v>2026-10-18T00:00:00.000Z</x:v>
      </x:c>
    </x:row>
    <x:row r="530" ht="120" customHeight="1">
      <x:c r="A530" s="33" t="str">
        <x:v>R-044</x:v>
      </x:c>
      <x:c r="B530" s="33" t="str">
        <x:v>Review batch</x:v>
      </x:c>
      <x:c r="C530" s="33" t="str">
        <x:v>Revision notes</x:v>
      </x:c>
      <x:c r="D530" s="33" t="str">
        <x:v>Cause, event and impact separated; wording aligned to pandemic onset. Source evidence and controls remain unverified.</x:v>
      </x:c>
      <x:c r="E530" s="33" t="str">
        <x:v>Cause, event and impact separated; wording aligned to pandemic onset. Source evidence and controls remain unverified. Decisions applied: D11; D12–D14. See Decision Log for specific before/after values.</x:v>
      </x:c>
      <x:c r="F530" s="33" t="str">
        <x:v>Applied in project review</x:v>
      </x:c>
      <x:c r="G530" s="43" t="d">
        <x:v>2026-10-18T00:00:00.000Z</x:v>
      </x:c>
    </x:row>
    <x:row r="531" ht="120" customHeight="1">
      <x:c r="A531" s="33" t="str">
        <x:v>R-045</x:v>
      </x:c>
      <x:c r="B531" s="33" t="str">
        <x:v>D13</x:v>
      </x:c>
      <x:c r="C531" s="33" t="str">
        <x:v>Likelihood horizon</x:v>
      </x:c>
      <x:c r="D531" s="33" t="str">
        <x:v>Initial three months</x:v>
      </x:c>
      <x:c r="E531" s="33" t="str">
        <x:v>2020-04-01 to 2020-06-30</x:v>
      </x:c>
      <x:c r="F531" s="33" t="str">
        <x:v>Applied in project review</x:v>
      </x:c>
      <x:c r="G531" s="43" t="d">
        <x:v>2026-10-18T00:00:00.000Z</x:v>
      </x:c>
    </x:row>
    <x:row r="532" ht="120" customHeight="1">
      <x:c r="A532" s="33" t="str">
        <x:v>R-045</x:v>
      </x:c>
      <x:c r="B532" s="33" t="str">
        <x:v>D12</x:v>
      </x:c>
      <x:c r="C532" s="33" t="str">
        <x:v>Existing controls</x:v>
      </x:c>
      <x:c r="D532" s="33" t="str">
        <x:v>Continuous market research is reported.</x:v>
      </x:c>
      <x:c r="E532" s="33" t="str">
        <x:v>Assumption from Sam: financial modelling, market research and customer incentives operate. None is specified as a tested control in the case.</x:v>
      </x:c>
      <x:c r="F532" s="33" t="str">
        <x:v>Applied in project review</x:v>
      </x:c>
      <x:c r="G532" s="43" t="d">
        <x:v>2026-10-18T00:00:00.000Z</x:v>
      </x:c>
    </x:row>
    <x:row r="533" ht="120" customHeight="1">
      <x:c r="A533" s="33" t="str">
        <x:v>R-045</x:v>
      </x:c>
      <x:c r="B533" s="33" t="str">
        <x:v>D12</x:v>
      </x:c>
      <x:c r="C533" s="33" t="str">
        <x:v>Control evidence status</x:v>
      </x:c>
      <x:c r="D533" s="33" t="str">
        <x:v>Reported in Sam’s draft; implementation and scope require verification.</x:v>
      </x:c>
      <x:c r="E533" s="33" t="str">
        <x:v>Mixed evidence: case arrangements plus explicit team assumptions; see Evidence and experience.</x:v>
      </x:c>
      <x:c r="F533" s="33" t="str">
        <x:v>Applied in project review</x:v>
      </x:c>
      <x:c r="G533" s="43" t="d">
        <x:v>2026-10-18T00:00:00.000Z</x:v>
      </x:c>
    </x:row>
    <x:row r="534" ht="120" customHeight="1">
      <x:c r="A534" s="33" t="str">
        <x:v>R-045</x:v>
      </x:c>
      <x:c r="B534" s="33" t="str">
        <x:v>D12</x:v>
      </x:c>
      <x:c r="C534" s="33" t="str">
        <x:v>Control effectiveness</x:v>
      </x:c>
      <x:c r="D534" s="33" t="str">
        <x:v>Research may identify customer needs but does not establish that pricing or digital services meet them. Market research is reported; digital capability assessments and customer evidence need verification.</x:v>
      </x:c>
      <x:c r="E534" s="33" t="str">
        <x:v>These may support adaptation and retention, but cannot prevent customers’ financial difficulties or prove revenue resilience.</x:v>
      </x:c>
      <x:c r="F534" s="33" t="str">
        <x:v>Applied in project review</x:v>
      </x:c>
      <x:c r="G534" s="43" t="d">
        <x:v>2026-10-18T00:00:00.000Z</x:v>
      </x:c>
    </x:row>
    <x:row r="535" ht="120" customHeight="1">
      <x:c r="A535" s="33" t="str">
        <x:v>R-045</x:v>
      </x:c>
      <x:c r="B535" s="33" t="str">
        <x:v>D12; D13</x:v>
      </x:c>
      <x:c r="C535" s="33" t="str">
        <x:v>Evidence and experience</x:v>
      </x:c>
      <x:c r="D535" s="33" t="str">
        <x:v>See Source Records for R-045 and Source Text for the original references. No verified internal incident history or empirical probability estimate is supplied. Historical examples require a scenario-date and relevance check before use.</x:v>
      </x:c>
      <x:c r="E535" s="33" t="str">
        <x:v>Business outline(1).pdf: The case confirms products, distribution channels and customer-facing systems (pp. 2, 4–5), but not market-research or retention-control operation. Team source: Sam’s Existing Controls.docx; original descriptions and examples are preserved by Record ID in Source Records. No internal incident history is verified. Only evidence available by 2020-04-01 can support the initial assessment.</x:v>
      </x:c>
      <x:c r="F535" s="33" t="str">
        <x:v>Applied in project review</x:v>
      </x:c>
      <x:c r="G535" s="43" t="d">
        <x:v>2026-10-18T00:00:00.000Z</x:v>
      </x:c>
    </x:row>
    <x:row r="536" ht="120" customHeight="1">
      <x:c r="A536" s="33" t="str">
        <x:v>R-045</x:v>
      </x:c>
      <x:c r="B536" s="33" t="str">
        <x:v>D12 draft</x:v>
      </x:c>
      <x:c r="C536" s="33" t="str">
        <x:v>Tolerability</x:v>
      </x:c>
      <x:c r="D536" s="33" t="str">
        <x:v>Awaiting assessment</x:v>
      </x:c>
      <x:c r="E536" s="33" t="str">
        <x:v>Not tolerable</x:v>
      </x:c>
      <x:c r="F536" s="33" t="str">
        <x:v>Applied in project review</x:v>
      </x:c>
      <x:c r="G536" s="43" t="d">
        <x:v>2026-10-18T00:00:00.000Z</x:v>
      </x:c>
    </x:row>
    <x:row r="537" ht="120" customHeight="1">
      <x:c r="A537" s="33" t="str">
        <x:v>R-045</x:v>
      </x:c>
      <x:c r="B537" s="33" t="str">
        <x:v>D12 draft</x:v>
      </x:c>
      <x:c r="C537" s="33" t="str">
        <x:v>Tolerability reasoning</x:v>
      </x:c>
      <x:c r="D537" s="33" t="str">
        <x:v>The supplied information does not establish the remaining exposure after controls. Market research is reported; digital capability assessments and customer evidence need verification. A tolerability decision must consider the agreed appetite and the need to sustain digital customer experience.</x:v>
      </x:c>
      <x:c r="E537" s="33" t="str">
        <x:v>Not tolerable on the assumption that a material digital-capability gap persistently undermines essential customer access and retention. Research without appropriate service capability does not address the exposure.</x:v>
      </x:c>
      <x:c r="F537" s="33" t="str">
        <x:v>Applied in project review</x:v>
      </x:c>
      <x:c r="G537" s="43" t="d">
        <x:v>2026-10-18T00:00:00.000Z</x:v>
      </x:c>
    </x:row>
    <x:row r="538" ht="120" customHeight="1">
      <x:c r="A538" s="33" t="str">
        <x:v>R-045</x:v>
      </x:c>
      <x:c r="B538" s="33" t="str">
        <x:v>D14</x:v>
      </x:c>
      <x:c r="C538" s="33" t="str">
        <x:v>Risk owner</x:v>
      </x:c>
      <x:c r="D538" s="33" t="str">
        <x:v>Unassigned</x:v>
      </x:c>
      <x:c r="E538" s="33" t="str">
        <x:v>Marketing Manager</x:v>
      </x:c>
      <x:c r="F538" s="33" t="str">
        <x:v>Applied in project review</x:v>
      </x:c>
      <x:c r="G538" s="43" t="d">
        <x:v>2026-10-18T00:00:00.000Z</x:v>
      </x:c>
    </x:row>
    <x:row r="539" ht="120" customHeight="1">
      <x:c r="A539" s="33" t="str">
        <x:v>R-045</x:v>
      </x:c>
      <x:c r="B539" s="33" t="str">
        <x:v>D11 / D12</x:v>
      </x:c>
      <x:c r="C539" s="33" t="str">
        <x:v>Assessment status</x:v>
      </x:c>
      <x:c r="D539" s="33" t="str">
        <x:v>Draft for review</x:v>
      </x:c>
      <x:c r="E539" s="33" t="str">
        <x:v>Revised draft for review</x:v>
      </x:c>
      <x:c r="F539" s="33" t="str">
        <x:v>Applied in project review</x:v>
      </x:c>
      <x:c r="G539" s="43" t="d">
        <x:v>2026-10-18T00:00:00.000Z</x:v>
      </x:c>
    </x:row>
    <x:row r="540" ht="120" customHeight="1">
      <x:c r="A540" s="33" t="str">
        <x:v>R-045</x:v>
      </x:c>
      <x:c r="B540" s="33" t="str">
        <x:v>D13</x:v>
      </x:c>
      <x:c r="C540" s="33" t="str">
        <x:v>Longer-term exposure</x:v>
      </x:c>
      <x:c r="D540" s="33" t="str">
        <x:v>Consequences may extend beyond three months; reassess during weekly reviews.</x:v>
      </x:c>
      <x:c r="E540" s="33" t="str">
        <x:v>Consequences may extend beyond three months; reassess during weekly reviews. Initial likelihood horizon ends 2020-06-30; later information belongs to dated reviews.</x:v>
      </x:c>
      <x:c r="F540" s="33" t="str">
        <x:v>Applied in project review</x:v>
      </x:c>
      <x:c r="G540" s="43" t="d">
        <x:v>2026-10-18T00:00:00.000Z</x:v>
      </x:c>
    </x:row>
    <x:row r="541" ht="120" customHeight="1">
      <x:c r="A541" s="33" t="str">
        <x:v>R-045</x:v>
      </x:c>
      <x:c r="B541" s="33" t="str">
        <x:v>Review batch</x:v>
      </x:c>
      <x:c r="C541" s="33" t="str">
        <x:v>Revision notes</x:v>
      </x:c>
      <x:c r="D541" s="33" t="str">
        <x:v>Cause, event and impact separated; wording aligned to pandemic onset. Source evidence and controls remain unverified. Proposed code M5-T-01 to M2-G-01 based on primary cause or index placement. M5 to M2 and customer-expectations focus agreed with Chris; source G remains proposed. D01: Chris approved the Governance and Processes classification on 2026-10-18 (project review). Scores and other assessments remain provisional.</x:v>
      </x:c>
      <x:c r="E541" s="33" t="str">
        <x:v>Cause, event and impact separated; wording aligned to pandemic onset. Source evidence and controls remain unverified. Proposed code M5-T-01 to M2-G-01 based on primary cause or index placement. M5 to M2 and customer-expectations focus agreed with Chris; source G remains proposed. D01: Chris approved the Governance and Processes classification on 2026-10-18 (project review). Scores and other assessments remain provisional. Decisions applied: D01; M5 decision; D12–D14. See Decision Log for specific before/after values.</x:v>
      </x:c>
      <x:c r="F541" s="33" t="str">
        <x:v>Applied in project review</x:v>
      </x:c>
      <x:c r="G541" s="43" t="d">
        <x:v>2026-10-18T00:00:00.000Z</x:v>
      </x:c>
    </x:row>
    <x:row r="542" ht="125" customHeight="1">
      <x:c r="A542" s="33" t="str">
        <x:v>R-025</x:v>
      </x:c>
      <x:c r="B542" s="33" t="str">
        <x:v>D15</x:v>
      </x:c>
      <x:c r="C542" s="33" t="str">
        <x:v>F</x:v>
      </x:c>
      <x:c r="D542" s="33" t="str">
        <x:v>G</x:v>
      </x:c>
      <x:c r="E542" s="33" t="str">
        <x:v>Governance and Processes</x:v>
      </x:c>
      <x:c r="F542" s="33" t="str">
        <x:v>Agreed project decision; assessment qualifications retained</x:v>
      </x:c>
      <x:c r="G542" s="43" t="d">
        <x:v>2026-10-18T00:00:00.000Z</x:v>
      </x:c>
    </x:row>
    <x:row r="543" ht="125" customHeight="1">
      <x:c r="A543" s="33" t="str">
        <x:v>R-025</x:v>
      </x:c>
      <x:c r="B543" s="33" t="str">
        <x:v>D15</x:v>
      </x:c>
      <x:c r="C543" s="33" t="str">
        <x:v>G</x:v>
      </x:c>
      <x:c r="D543" s="33" t="str">
        <x:v>Provisional</x:v>
      </x:c>
      <x:c r="E543" s="33" t="str">
        <x:v>Approved</x:v>
      </x:c>
      <x:c r="F543" s="33" t="str">
        <x:v>Agreed project decision; assessment qualifications retained</x:v>
      </x:c>
      <x:c r="G543" s="43" t="d">
        <x:v>2026-10-18T00:00:00.000Z</x:v>
      </x:c>
    </x:row>
    <x:row r="544" ht="125" customHeight="1">
      <x:c r="A544" s="33" t="str">
        <x:v>R-025</x:v>
      </x:c>
      <x:c r="B544" s="33" t="str">
        <x:v>D15; D18</x:v>
      </x:c>
      <x:c r="C544" s="33" t="str">
        <x:v>AK</x:v>
      </x:c>
      <x:c r="D544" s="33" t="str">
        <x:v>Draft judgment; not formal risk acceptance</x:v>
      </x:c>
      <x:c r="E544" s="33" t="str">
        <x:v>D15 agreed: classification and magnitude approved; likelihood 3 provisional. D18 tolerability agreed on stated assumptions.</x:v>
      </x:c>
      <x:c r="F544" s="33" t="str">
        <x:v>Agreed project decision; assessment qualifications retained</x:v>
      </x:c>
      <x:c r="G544" s="43" t="d">
        <x:v>2026-10-18T00:00:00.000Z</x:v>
      </x:c>
    </x:row>
    <x:row r="545" ht="125" customHeight="1">
      <x:c r="A545" s="33" t="str">
        <x:v>R-033</x:v>
      </x:c>
      <x:c r="B545" s="33" t="str">
        <x:v>D16</x:v>
      </x:c>
      <x:c r="C545" s="33" t="str">
        <x:v>N</x:v>
      </x:c>
      <x:c r="D545" s="33" t="n">
        <x:v>2</x:v>
      </x:c>
      <x:c r="E545" s="33" t="n">
        <x:v>3</x:v>
      </x:c>
      <x:c r="F545" s="33" t="str">
        <x:v>Agreed project decision; assessment qualifications retained</x:v>
      </x:c>
      <x:c r="G545" s="43" t="d">
        <x:v>2026-10-18T00:00:00.000Z</x:v>
      </x:c>
    </x:row>
    <x:row r="546" ht="125" customHeight="1">
      <x:c r="A546" s="33" t="str">
        <x:v>R-033</x:v>
      </x:c>
      <x:c r="B546" s="33" t="str">
        <x:v>D16</x:v>
      </x:c>
      <x:c r="C546" s="33" t="str">
        <x:v>Q</x:v>
      </x:c>
      <x:c r="D546" s="33" t="str">
        <x:v>Proposed Unlikely for the specifically widespread, serious-harm scenario. The previous Possible rating applied to a broader disclosure event. A large exposure remains credible, but accessible data volumes and attack pathways are unknown; this is an uncertain scenario judgment, not a measured probability.</x:v>
      </x:c>
      <x:c r="E546" s="33" t="str">
        <x:v>Possible within April 1–June 30, 2020 is retained as a provisional judgment. Narrowing the event to widespread serious-harm disclosure does not alone justify a lower likelihood band. Accessible data volumes, safeguards and breach pathways require verification.</x:v>
      </x:c>
      <x:c r="F546" s="33" t="str">
        <x:v>Agreed project decision; assessment qualifications retained</x:v>
      </x:c>
      <x:c r="G546" s="43" t="d">
        <x:v>2026-10-18T00:00:00.000Z</x:v>
      </x:c>
    </x:row>
    <x:row r="547" ht="125" customHeight="1">
      <x:c r="A547" s="33" t="str">
        <x:v>R-033</x:v>
      </x:c>
      <x:c r="B547" s="33" t="str">
        <x:v>D16; D18</x:v>
      </x:c>
      <x:c r="C547" s="33" t="str">
        <x:v>AK</x:v>
      </x:c>
      <x:c r="D547" s="33" t="str">
        <x:v>Draft judgment; not formal risk acceptance</x:v>
      </x:c>
      <x:c r="E547" s="33" t="str">
        <x:v>D16 agreed: likelihood 3 provisional, magnitude 5; Extreme by categorical matrix, not multiplication. D18 tolerability agreed on stated assumptions.</x:v>
      </x:c>
      <x:c r="F547" s="33" t="str">
        <x:v>Agreed project decision; assessment qualifications retained</x:v>
      </x:c>
      <x:c r="G547" s="43" t="d">
        <x:v>2026-10-18T00:00:00.000Z</x:v>
      </x:c>
    </x:row>
    <x:row r="548" ht="125" customHeight="1">
      <x:c r="A548" s="33" t="str">
        <x:v>R-042</x:v>
      </x:c>
      <x:c r="B548" s="33" t="str">
        <x:v>D17</x:v>
      </x:c>
      <x:c r="C548" s="33" t="str">
        <x:v>B</x:v>
      </x:c>
      <x:c r="D548" s="33" t="str">
        <x:v>M3-S-01</x:v>
      </x:c>
      <x:c r="E548" s="33" t="str">
        <x:v>I4-S-02</x:v>
      </x:c>
      <x:c r="F548" s="33" t="str">
        <x:v>Agreed project decision; assessment qualifications retained</x:v>
      </x:c>
      <x:c r="G548" s="43" t="d">
        <x:v>2026-10-18T00:00:00.000Z</x:v>
      </x:c>
    </x:row>
    <x:row r="549" ht="125" customHeight="1">
      <x:c r="A549" s="33" t="str">
        <x:v>R-042</x:v>
      </x:c>
      <x:c r="B549" s="33" t="str">
        <x:v>D17</x:v>
      </x:c>
      <x:c r="C549" s="33" t="str">
        <x:v>D</x:v>
      </x:c>
      <x:c r="D549" s="33" t="str">
        <x:v>Marketing</x:v>
      </x:c>
      <x:c r="E549" s="33" t="str">
        <x:v>Infrastructure</x:v>
      </x:c>
      <x:c r="F549" s="33" t="str">
        <x:v>Agreed project decision; assessment qualifications retained</x:v>
      </x:c>
      <x:c r="G549" s="43" t="d">
        <x:v>2026-10-18T00:00:00.000Z</x:v>
      </x:c>
    </x:row>
    <x:row r="550" ht="125" customHeight="1">
      <x:c r="A550" s="33" t="str">
        <x:v>R-042</x:v>
      </x:c>
      <x:c r="B550" s="33" t="str">
        <x:v>D17</x:v>
      </x:c>
      <x:c r="C550" s="33" t="str">
        <x:v>E</x:v>
      </x:c>
      <x:c r="D550" s="33" t="str">
        <x:v>4.3</x:v>
      </x:c>
      <x:c r="E550" s="33" t="str">
        <x:v>2.4</x:v>
      </x:c>
      <x:c r="F550" s="33" t="str">
        <x:v>Agreed project decision; assessment qualifications retained</x:v>
      </x:c>
      <x:c r="G550" s="43" t="d">
        <x:v>2026-10-18T00:00:00.000Z</x:v>
      </x:c>
    </x:row>
    <x:row r="551" ht="125" customHeight="1">
      <x:c r="A551" s="33" t="str">
        <x:v>R-042</x:v>
      </x:c>
      <x:c r="B551" s="33" t="str">
        <x:v>D17</x:v>
      </x:c>
      <x:c r="C551" s="33" t="str">
        <x:v>G</x:v>
      </x:c>
      <x:c r="D551" s="33" t="str">
        <x:v>Provisional</x:v>
      </x:c>
      <x:c r="E551" s="33" t="str">
        <x:v>Approved</x:v>
      </x:c>
      <x:c r="F551" s="33" t="str">
        <x:v>Agreed project decision; assessment qualifications retained</x:v>
      </x:c>
      <x:c r="G551" s="43" t="d">
        <x:v>2026-10-18T00:00:00.000Z</x:v>
      </x:c>
    </x:row>
    <x:row r="552" ht="125" customHeight="1">
      <x:c r="A552" s="33" t="str">
        <x:v>R-042</x:v>
      </x:c>
      <x:c r="B552" s="33" t="str">
        <x:v>D17; D18</x:v>
      </x:c>
      <x:c r="C552" s="33" t="str">
        <x:v>AK</x:v>
      </x:c>
      <x:c r="D552" s="33" t="str">
        <x:v>Draft judgment; not formal risk acceptance</x:v>
      </x:c>
      <x:c r="E552" s="33" t="str">
        <x:v>D17 agreed: Infrastructure placement; likelihood 3 and magnitude 3 provisional, assuming alternative support within acceptable time and cost. D18 conditional tolerability agreed.</x:v>
      </x:c>
      <x:c r="F552" s="33" t="str">
        <x:v>Agreed project decision; assessment qualifications retained</x:v>
      </x:c>
      <x:c r="G552" s="43" t="d">
        <x:v>2026-10-18T00:00:00.000Z</x:v>
      </x:c>
    </x:row>
    <x:row r="553" ht="125" customHeight="1">
      <x:c r="A553" s="33" t="str">
        <x:v>R-015</x:v>
      </x:c>
      <x:c r="B553" s="33" t="str">
        <x:v>D18</x:v>
      </x:c>
      <x:c r="C553" s="33" t="str">
        <x:v>W</x:v>
      </x:c>
      <x:c r="D553" s="33" t="str">
        <x:v>Awaiting assessment</x:v>
      </x:c>
      <x:c r="E553" s="33" t="str">
        <x:v>Not tolerable</x:v>
      </x:c>
      <x:c r="F553" s="33" t="str">
        <x:v>Agreed project decision; assessment qualifications retained</x:v>
      </x:c>
      <x:c r="G553" s="43" t="d">
        <x:v>2026-10-18T00:00:00.000Z</x:v>
      </x:c>
    </x:row>
    <x:row r="554" ht="125" customHeight="1">
      <x:c r="A554" s="33" t="str">
        <x:v>R-015</x:v>
      </x:c>
      <x:c r="B554" s="33" t="str">
        <x:v>D18</x:v>
      </x:c>
      <x:c r="C554" s="33" t="str">
        <x:v>X</x:v>
      </x:c>
      <x:c r="D554" s="33" t="str">
        <x:v>Staff availability, absence forecasts and trained backup coverage remain unconfirmed. Assess whether essential roles can remain covered within agreed minimum staffing levels before deciding tolerability.</x:v>
      </x:c>
      <x:c r="E554" s="33" t="str">
        <x:v>Not tolerable provisionally: the assessed event leaves essential work without adequate staffing or specialist coverage. On the explicit assumption that continuity arrangements are inadequate, this exceeds our low tolerance for essential-role gaps. Confirm absence exposure, minimum coverage, trained backups and alternative support; routine absence with adequate cover is not the intolerable event.</x:v>
      </x:c>
      <x:c r="F554" s="33" t="str">
        <x:v>Agreed project decision; assessment qualifications retained</x:v>
      </x:c>
      <x:c r="G554" s="43" t="d">
        <x:v>2026-10-18T00:00:00.000Z</x:v>
      </x:c>
    </x:row>
    <x:row r="555" ht="125" customHeight="1">
      <x:c r="A555" s="33" t="str">
        <x:v>R-016</x:v>
      </x:c>
      <x:c r="B555" s="33" t="str">
        <x:v>D18</x:v>
      </x:c>
      <x:c r="C555" s="33" t="str">
        <x:v>W</x:v>
      </x:c>
      <x:c r="D555" s="33" t="str">
        <x:v>Awaiting assessment</x:v>
      </x:c>
      <x:c r="E555" s="33" t="str">
        <x:v>Not tolerable</x:v>
      </x:c>
      <x:c r="F555" s="33" t="str">
        <x:v>Agreed project decision; assessment qualifications retained</x:v>
      </x:c>
      <x:c r="G555" s="43" t="d">
        <x:v>2026-10-18T00:00:00.000Z</x:v>
      </x:c>
    </x:row>
    <x:row r="556" ht="125" customHeight="1">
      <x:c r="A556" s="33" t="str">
        <x:v>R-016</x:v>
      </x:c>
      <x:c r="B556" s="33" t="str">
        <x:v>D18</x:v>
      </x:c>
      <x:c r="C556" s="33" t="str">
        <x:v>X</x:v>
      </x:c>
      <x:c r="D556" s="33" t="str">
        <x:v>Specialist capacity, replacement lead times and available internal or external cover remain unconfirmed. Assess whether essential work can continue during a skills gap before deciding tolerability.</x:v>
      </x:c>
      <x:c r="E556" s="33" t="str">
        <x:v>Not tolerable provisionally: the assessed event leaves essential work without adequate staffing or specialist coverage. On the explicit assumption that continuity arrangements are inadequate, this exceeds our low tolerance for essential-role gaps. Confirm absence exposure, minimum coverage, trained backups and alternative support; routine absence with adequate cover is not the intolerable event.</x:v>
      </x:c>
      <x:c r="F556" s="33" t="str">
        <x:v>Agreed project decision; assessment qualifications retained</x:v>
      </x:c>
      <x:c r="G556" s="43" t="d">
        <x:v>2026-10-18T00:00:00.000Z</x:v>
      </x:c>
    </x:row>
    <x:row r="557" ht="125" customHeight="1">
      <x:c r="A557" s="33" t="str">
        <x:v>R-001</x:v>
      </x:c>
      <x:c r="B557" s="33" t="str">
        <x:v>D18</x:v>
      </x:c>
      <x:c r="C557" s="33" t="str">
        <x:v>AJ</x:v>
      </x:c>
      <x:c r="D557" s="33" t="str">
        <x:v>Initial review; D12; D13; D14</x:v>
      </x:c>
      <x:c r="E557" s="33" t="str">
        <x:v>Initial review; D12; D13; D14; D18</x:v>
      </x:c>
      <x:c r="F557" s="33" t="str">
        <x:v>Agreed project decision; assessment qualifications retained</x:v>
      </x:c>
      <x:c r="G557" s="43" t="d">
        <x:v>2026-10-18T00:00:00.000Z</x:v>
      </x:c>
    </x:row>
    <x:row r="558" ht="125" customHeight="1">
      <x:c r="A558" s="33" t="str">
        <x:v>R-001</x:v>
      </x:c>
      <x:c r="B558" s="33" t="str">
        <x:v>D18</x:v>
      </x:c>
      <x:c r="C558" s="33" t="str">
        <x:v>AK</x:v>
      </x:c>
      <x:c r="D558" s="33" t="str">
        <x:v>Initial draft agreed; tolerability pending</x:v>
      </x:c>
      <x:c r="E558" s="33" t="str">
        <x:v>D18 agreed: decision remains unresolved pending material financial evidence; exposure is not accepted.</x:v>
      </x:c>
      <x:c r="F558" s="33" t="str">
        <x:v>Agreed project decision; assessment qualifications retained</x:v>
      </x:c>
      <x:c r="G558" s="43" t="d">
        <x:v>2026-10-18T00:00:00.000Z</x:v>
      </x:c>
    </x:row>
    <x:row r="559" ht="125" customHeight="1">
      <x:c r="A559" s="33" t="str">
        <x:v>R-002</x:v>
      </x:c>
      <x:c r="B559" s="33" t="str">
        <x:v>D18</x:v>
      </x:c>
      <x:c r="C559" s="33" t="str">
        <x:v>AJ</x:v>
      </x:c>
      <x:c r="D559" s="33" t="str">
        <x:v>Initial review; D12; D13; D14</x:v>
      </x:c>
      <x:c r="E559" s="33" t="str">
        <x:v>Initial review; D12; D13; D14; D18</x:v>
      </x:c>
      <x:c r="F559" s="33" t="str">
        <x:v>Agreed project decision; assessment qualifications retained</x:v>
      </x:c>
      <x:c r="G559" s="43" t="d">
        <x:v>2026-10-18T00:00:00.000Z</x:v>
      </x:c>
    </x:row>
    <x:row r="560" ht="125" customHeight="1">
      <x:c r="A560" s="33" t="str">
        <x:v>R-002</x:v>
      </x:c>
      <x:c r="B560" s="33" t="str">
        <x:v>D18</x:v>
      </x:c>
      <x:c r="C560" s="33" t="str">
        <x:v>AK</x:v>
      </x:c>
      <x:c r="D560" s="33" t="str">
        <x:v>Initial draft agreed; tolerability pending</x:v>
      </x:c>
      <x:c r="E560" s="33" t="str">
        <x:v>D18 agreed: decision remains unresolved pending material financial evidence; exposure is not accepted.</x:v>
      </x:c>
      <x:c r="F560" s="33" t="str">
        <x:v>Agreed project decision; assessment qualifications retained</x:v>
      </x:c>
      <x:c r="G560" s="43" t="d">
        <x:v>2026-10-18T00:00:00.000Z</x:v>
      </x:c>
    </x:row>
    <x:row r="561" ht="125" customHeight="1">
      <x:c r="A561" s="33" t="str">
        <x:v>R-003</x:v>
      </x:c>
      <x:c r="B561" s="33" t="str">
        <x:v>D18</x:v>
      </x:c>
      <x:c r="C561" s="33" t="str">
        <x:v>AJ</x:v>
      </x:c>
      <x:c r="D561" s="33" t="str">
        <x:v>D01; D12; D13; D14</x:v>
      </x:c>
      <x:c r="E561" s="33" t="str">
        <x:v>D01; D12; D13; D14; D18</x:v>
      </x:c>
      <x:c r="F561" s="33" t="str">
        <x:v>Agreed project decision; assessment qualifications retained</x:v>
      </x:c>
      <x:c r="G561" s="43" t="d">
        <x:v>2026-10-18T00:00:00.000Z</x:v>
      </x:c>
    </x:row>
    <x:row r="562" ht="125" customHeight="1">
      <x:c r="A562" s="33" t="str">
        <x:v>R-003</x:v>
      </x:c>
      <x:c r="B562" s="33" t="str">
        <x:v>D18</x:v>
      </x:c>
      <x:c r="C562" s="33" t="str">
        <x:v>AK</x:v>
      </x:c>
      <x:c r="D562" s="33" t="str">
        <x:v>Draft judgment; not formal risk acceptance</x:v>
      </x:c>
      <x:c r="E562" s="33" t="str">
        <x:v>D18 project conclusion agreed; provisional assessment subject to stated controls, evidence and assumptions.</x:v>
      </x:c>
      <x:c r="F562" s="33" t="str">
        <x:v>Agreed project decision; assessment qualifications retained</x:v>
      </x:c>
      <x:c r="G562" s="43" t="d">
        <x:v>2026-10-18T00:00:00.000Z</x:v>
      </x:c>
    </x:row>
    <x:row r="563" ht="125" customHeight="1">
      <x:c r="A563" s="33" t="str">
        <x:v>R-004</x:v>
      </x:c>
      <x:c r="B563" s="33" t="str">
        <x:v>D18</x:v>
      </x:c>
      <x:c r="C563" s="33" t="str">
        <x:v>AJ</x:v>
      </x:c>
      <x:c r="D563" s="33" t="str">
        <x:v>D11; D12; D13; D14</x:v>
      </x:c>
      <x:c r="E563" s="33" t="str">
        <x:v>D11; D12; D13; D14; D18</x:v>
      </x:c>
      <x:c r="F563" s="33" t="str">
        <x:v>Agreed project decision; assessment qualifications retained</x:v>
      </x:c>
      <x:c r="G563" s="43" t="d">
        <x:v>2026-10-18T00:00:00.000Z</x:v>
      </x:c>
    </x:row>
    <x:row r="564" ht="125" customHeight="1">
      <x:c r="A564" s="33" t="str">
        <x:v>R-004</x:v>
      </x:c>
      <x:c r="B564" s="33" t="str">
        <x:v>D18</x:v>
      </x:c>
      <x:c r="C564" s="33" t="str">
        <x:v>AK</x:v>
      </x:c>
      <x:c r="D564" s="33" t="str">
        <x:v>Draft judgment; not formal risk acceptance</x:v>
      </x:c>
      <x:c r="E564" s="33" t="str">
        <x:v>D18 agreed: decision remains unresolved pending material financial evidence; exposure is not accepted.</x:v>
      </x:c>
      <x:c r="F564" s="33" t="str">
        <x:v>Agreed project decision; assessment qualifications retained</x:v>
      </x:c>
      <x:c r="G564" s="43" t="d">
        <x:v>2026-10-18T00:00:00.000Z</x:v>
      </x:c>
    </x:row>
    <x:row r="565" ht="125" customHeight="1">
      <x:c r="A565" s="33" t="str">
        <x:v>R-005</x:v>
      </x:c>
      <x:c r="B565" s="33" t="str">
        <x:v>D18</x:v>
      </x:c>
      <x:c r="C565" s="33" t="str">
        <x:v>AJ</x:v>
      </x:c>
      <x:c r="D565" s="33" t="str">
        <x:v>D02; D12; D13; D14</x:v>
      </x:c>
      <x:c r="E565" s="33" t="str">
        <x:v>D02; D12; D13; D14; D18</x:v>
      </x:c>
      <x:c r="F565" s="33" t="str">
        <x:v>Agreed project decision; assessment qualifications retained</x:v>
      </x:c>
      <x:c r="G565" s="43" t="d">
        <x:v>2026-10-18T00:00:00.000Z</x:v>
      </x:c>
    </x:row>
    <x:row r="566" ht="125" customHeight="1">
      <x:c r="A566" s="33" t="str">
        <x:v>R-005</x:v>
      </x:c>
      <x:c r="B566" s="33" t="str">
        <x:v>D18</x:v>
      </x:c>
      <x:c r="C566" s="33" t="str">
        <x:v>AK</x:v>
      </x:c>
      <x:c r="D566" s="33" t="str">
        <x:v>Draft judgment; not formal risk acceptance</x:v>
      </x:c>
      <x:c r="E566" s="33" t="str">
        <x:v>D18 project conclusion agreed; provisional assessment subject to stated controls, evidence and assumptions.</x:v>
      </x:c>
      <x:c r="F566" s="33" t="str">
        <x:v>Agreed project decision; assessment qualifications retained</x:v>
      </x:c>
      <x:c r="G566" s="43" t="d">
        <x:v>2026-10-18T00:00:00.000Z</x:v>
      </x:c>
    </x:row>
    <x:row r="567" ht="125" customHeight="1">
      <x:c r="A567" s="33" t="str">
        <x:v>R-006</x:v>
      </x:c>
      <x:c r="B567" s="33" t="str">
        <x:v>D18</x:v>
      </x:c>
      <x:c r="C567" s="33" t="str">
        <x:v>AJ</x:v>
      </x:c>
      <x:c r="D567" s="33" t="str">
        <x:v>D11; D12; D13; D14</x:v>
      </x:c>
      <x:c r="E567" s="33" t="str">
        <x:v>D11; D12; D13; D14; D18</x:v>
      </x:c>
      <x:c r="F567" s="33" t="str">
        <x:v>Agreed project decision; assessment qualifications retained</x:v>
      </x:c>
      <x:c r="G567" s="43" t="d">
        <x:v>2026-10-18T00:00:00.000Z</x:v>
      </x:c>
    </x:row>
    <x:row r="568" ht="125" customHeight="1">
      <x:c r="A568" s="33" t="str">
        <x:v>R-006</x:v>
      </x:c>
      <x:c r="B568" s="33" t="str">
        <x:v>D18</x:v>
      </x:c>
      <x:c r="C568" s="33" t="str">
        <x:v>AK</x:v>
      </x:c>
      <x:c r="D568" s="33" t="str">
        <x:v>Draft judgment; not formal risk acceptance</x:v>
      </x:c>
      <x:c r="E568" s="33" t="str">
        <x:v>D18 project conclusion agreed; provisional assessment subject to stated controls, evidence and assumptions.</x:v>
      </x:c>
      <x:c r="F568" s="33" t="str">
        <x:v>Agreed project decision; assessment qualifications retained</x:v>
      </x:c>
      <x:c r="G568" s="43" t="d">
        <x:v>2026-10-18T00:00:00.000Z</x:v>
      </x:c>
    </x:row>
    <x:row r="569" ht="125" customHeight="1">
      <x:c r="A569" s="33" t="str">
        <x:v>R-007</x:v>
      </x:c>
      <x:c r="B569" s="33" t="str">
        <x:v>D18</x:v>
      </x:c>
      <x:c r="C569" s="33" t="str">
        <x:v>AJ</x:v>
      </x:c>
      <x:c r="D569" s="33" t="str">
        <x:v>D11; D12; D13; D14</x:v>
      </x:c>
      <x:c r="E569" s="33" t="str">
        <x:v>D11; D12; D13; D14; D18</x:v>
      </x:c>
      <x:c r="F569" s="33" t="str">
        <x:v>Agreed project decision; assessment qualifications retained</x:v>
      </x:c>
      <x:c r="G569" s="43" t="d">
        <x:v>2026-10-18T00:00:00.000Z</x:v>
      </x:c>
    </x:row>
    <x:row r="570" ht="125" customHeight="1">
      <x:c r="A570" s="33" t="str">
        <x:v>R-007</x:v>
      </x:c>
      <x:c r="B570" s="33" t="str">
        <x:v>D18</x:v>
      </x:c>
      <x:c r="C570" s="33" t="str">
        <x:v>AK</x:v>
      </x:c>
      <x:c r="D570" s="33" t="str">
        <x:v>Draft judgment; not formal risk acceptance</x:v>
      </x:c>
      <x:c r="E570" s="33" t="str">
        <x:v>D18 agreed: decision remains unresolved pending material financial evidence; exposure is not accepted.</x:v>
      </x:c>
      <x:c r="F570" s="33" t="str">
        <x:v>Agreed project decision; assessment qualifications retained</x:v>
      </x:c>
      <x:c r="G570" s="43" t="d">
        <x:v>2026-10-18T00:00:00.000Z</x:v>
      </x:c>
    </x:row>
    <x:row r="571" ht="125" customHeight="1">
      <x:c r="A571" s="33" t="str">
        <x:v>R-008</x:v>
      </x:c>
      <x:c r="B571" s="33" t="str">
        <x:v>D18</x:v>
      </x:c>
      <x:c r="C571" s="33" t="str">
        <x:v>AJ</x:v>
      </x:c>
      <x:c r="D571" s="33" t="str">
        <x:v>D10; D12; D13; D14</x:v>
      </x:c>
      <x:c r="E571" s="33" t="str">
        <x:v>D10; D12; D13; D14; D18</x:v>
      </x:c>
      <x:c r="F571" s="33" t="str">
        <x:v>Agreed project decision; assessment qualifications retained</x:v>
      </x:c>
      <x:c r="G571" s="43" t="d">
        <x:v>2026-10-18T00:00:00.000Z</x:v>
      </x:c>
    </x:row>
    <x:row r="572" ht="125" customHeight="1">
      <x:c r="A572" s="33" t="str">
        <x:v>R-008</x:v>
      </x:c>
      <x:c r="B572" s="33" t="str">
        <x:v>D18</x:v>
      </x:c>
      <x:c r="C572" s="33" t="str">
        <x:v>AK</x:v>
      </x:c>
      <x:c r="D572" s="33" t="str">
        <x:v>Draft judgment; not formal risk acceptance</x:v>
      </x:c>
      <x:c r="E572" s="33" t="str">
        <x:v>D18 agreed: decision remains unresolved pending material financial evidence; exposure is not accepted.</x:v>
      </x:c>
      <x:c r="F572" s="33" t="str">
        <x:v>Agreed project decision; assessment qualifications retained</x:v>
      </x:c>
      <x:c r="G572" s="43" t="d">
        <x:v>2026-10-18T00:00:00.000Z</x:v>
      </x:c>
    </x:row>
    <x:row r="573" ht="125" customHeight="1">
      <x:c r="A573" s="33" t="str">
        <x:v>R-009</x:v>
      </x:c>
      <x:c r="B573" s="33" t="str">
        <x:v>D18</x:v>
      </x:c>
      <x:c r="C573" s="33" t="str">
        <x:v>AJ</x:v>
      </x:c>
      <x:c r="D573" s="33" t="str">
        <x:v>D11; D12; D13; D14</x:v>
      </x:c>
      <x:c r="E573" s="33" t="str">
        <x:v>D11; D12; D13; D14; D18</x:v>
      </x:c>
      <x:c r="F573" s="33" t="str">
        <x:v>Agreed project decision; assessment qualifications retained</x:v>
      </x:c>
      <x:c r="G573" s="43" t="d">
        <x:v>2026-10-18T00:00:00.000Z</x:v>
      </x:c>
    </x:row>
    <x:row r="574" ht="125" customHeight="1">
      <x:c r="A574" s="33" t="str">
        <x:v>R-009</x:v>
      </x:c>
      <x:c r="B574" s="33" t="str">
        <x:v>D18</x:v>
      </x:c>
      <x:c r="C574" s="33" t="str">
        <x:v>AK</x:v>
      </x:c>
      <x:c r="D574" s="33" t="str">
        <x:v>Draft judgment; not formal risk acceptance</x:v>
      </x:c>
      <x:c r="E574" s="33" t="str">
        <x:v>D18 agreed: decision remains unresolved pending material financial evidence; exposure is not accepted.</x:v>
      </x:c>
      <x:c r="F574" s="33" t="str">
        <x:v>Agreed project decision; assessment qualifications retained</x:v>
      </x:c>
      <x:c r="G574" s="43" t="d">
        <x:v>2026-10-18T00:00:00.000Z</x:v>
      </x:c>
    </x:row>
    <x:row r="575" ht="125" customHeight="1">
      <x:c r="A575" s="33" t="str">
        <x:v>R-010</x:v>
      </x:c>
      <x:c r="B575" s="33" t="str">
        <x:v>D18</x:v>
      </x:c>
      <x:c r="C575" s="33" t="str">
        <x:v>AJ</x:v>
      </x:c>
      <x:c r="D575" s="33" t="str">
        <x:v>D10; D12; D13; D14</x:v>
      </x:c>
      <x:c r="E575" s="33" t="str">
        <x:v>D10; D12; D13; D14; D18</x:v>
      </x:c>
      <x:c r="F575" s="33" t="str">
        <x:v>Agreed project decision; assessment qualifications retained</x:v>
      </x:c>
      <x:c r="G575" s="43" t="d">
        <x:v>2026-10-18T00:00:00.000Z</x:v>
      </x:c>
    </x:row>
    <x:row r="576" ht="125" customHeight="1">
      <x:c r="A576" s="33" t="str">
        <x:v>R-010</x:v>
      </x:c>
      <x:c r="B576" s="33" t="str">
        <x:v>D18</x:v>
      </x:c>
      <x:c r="C576" s="33" t="str">
        <x:v>AK</x:v>
      </x:c>
      <x:c r="D576" s="33" t="str">
        <x:v>Draft judgment; not formal risk acceptance</x:v>
      </x:c>
      <x:c r="E576" s="33" t="str">
        <x:v>D18 agreed: decision remains unresolved pending material financial evidence; exposure is not accepted.</x:v>
      </x:c>
      <x:c r="F576" s="33" t="str">
        <x:v>Agreed project decision; assessment qualifications retained</x:v>
      </x:c>
      <x:c r="G576" s="43" t="d">
        <x:v>2026-10-18T00:00:00.000Z</x:v>
      </x:c>
    </x:row>
    <x:row r="577" ht="125" customHeight="1">
      <x:c r="A577" s="33" t="str">
        <x:v>R-011</x:v>
      </x:c>
      <x:c r="B577" s="33" t="str">
        <x:v>D18</x:v>
      </x:c>
      <x:c r="C577" s="33" t="str">
        <x:v>AJ</x:v>
      </x:c>
      <x:c r="D577" s="33" t="str">
        <x:v>D08; D12; D13; D14</x:v>
      </x:c>
      <x:c r="E577" s="33" t="str">
        <x:v>D08; D12; D13; D14; D18</x:v>
      </x:c>
      <x:c r="F577" s="33" t="str">
        <x:v>Agreed project decision; assessment qualifications retained</x:v>
      </x:c>
      <x:c r="G577" s="43" t="d">
        <x:v>2026-10-18T00:00:00.000Z</x:v>
      </x:c>
    </x:row>
    <x:row r="578" ht="125" customHeight="1">
      <x:c r="A578" s="33" t="str">
        <x:v>R-011</x:v>
      </x:c>
      <x:c r="B578" s="33" t="str">
        <x:v>D18</x:v>
      </x:c>
      <x:c r="C578" s="33" t="str">
        <x:v>AK</x:v>
      </x:c>
      <x:c r="D578" s="33" t="str">
        <x:v>Draft judgment; not formal risk acceptance</x:v>
      </x:c>
      <x:c r="E578" s="33" t="str">
        <x:v>D18 agreed: decision remains unresolved pending material financial evidence; exposure is not accepted.</x:v>
      </x:c>
      <x:c r="F578" s="33" t="str">
        <x:v>Agreed project decision; assessment qualifications retained</x:v>
      </x:c>
      <x:c r="G578" s="43" t="d">
        <x:v>2026-10-18T00:00:00.000Z</x:v>
      </x:c>
    </x:row>
    <x:row r="579" ht="125" customHeight="1">
      <x:c r="A579" s="33" t="str">
        <x:v>R-012</x:v>
      </x:c>
      <x:c r="B579" s="33" t="str">
        <x:v>D18</x:v>
      </x:c>
      <x:c r="C579" s="33" t="str">
        <x:v>AJ</x:v>
      </x:c>
      <x:c r="D579" s="33" t="str">
        <x:v>D11; D12; D13; D14</x:v>
      </x:c>
      <x:c r="E579" s="33" t="str">
        <x:v>D11; D12; D13; D14; D18</x:v>
      </x:c>
      <x:c r="F579" s="33" t="str">
        <x:v>Agreed project decision; assessment qualifications retained</x:v>
      </x:c>
      <x:c r="G579" s="43" t="d">
        <x:v>2026-10-18T00:00:00.000Z</x:v>
      </x:c>
    </x:row>
    <x:row r="580" ht="125" customHeight="1">
      <x:c r="A580" s="33" t="str">
        <x:v>R-012</x:v>
      </x:c>
      <x:c r="B580" s="33" t="str">
        <x:v>D18</x:v>
      </x:c>
      <x:c r="C580" s="33" t="str">
        <x:v>AK</x:v>
      </x:c>
      <x:c r="D580" s="33" t="str">
        <x:v>Draft judgment; not formal risk acceptance</x:v>
      </x:c>
      <x:c r="E580" s="33" t="str">
        <x:v>D18 agreed: decision remains unresolved pending material financial evidence; exposure is not accepted.</x:v>
      </x:c>
      <x:c r="F580" s="33" t="str">
        <x:v>Agreed project decision; assessment qualifications retained</x:v>
      </x:c>
      <x:c r="G580" s="43" t="d">
        <x:v>2026-10-18T00:00:00.000Z</x:v>
      </x:c>
    </x:row>
    <x:row r="581" ht="125" customHeight="1">
      <x:c r="A581" s="33" t="str">
        <x:v>R-014</x:v>
      </x:c>
      <x:c r="B581" s="33" t="str">
        <x:v>D18</x:v>
      </x:c>
      <x:c r="C581" s="33" t="str">
        <x:v>AJ</x:v>
      </x:c>
      <x:c r="D581" s="33" t="str">
        <x:v>D01; D12; D13; D14</x:v>
      </x:c>
      <x:c r="E581" s="33" t="str">
        <x:v>D01; D12; D13; D14; D18</x:v>
      </x:c>
      <x:c r="F581" s="33" t="str">
        <x:v>Agreed project decision; assessment qualifications retained</x:v>
      </x:c>
      <x:c r="G581" s="43" t="d">
        <x:v>2026-10-18T00:00:00.000Z</x:v>
      </x:c>
    </x:row>
    <x:row r="582" ht="125" customHeight="1">
      <x:c r="A582" s="33" t="str">
        <x:v>R-014</x:v>
      </x:c>
      <x:c r="B582" s="33" t="str">
        <x:v>D18</x:v>
      </x:c>
      <x:c r="C582" s="33" t="str">
        <x:v>AK</x:v>
      </x:c>
      <x:c r="D582" s="33" t="str">
        <x:v>Draft judgment; not formal risk acceptance</x:v>
      </x:c>
      <x:c r="E582" s="33" t="str">
        <x:v>D18 project conclusion agreed; provisional assessment subject to stated controls, evidence and assumptions.</x:v>
      </x:c>
      <x:c r="F582" s="33" t="str">
        <x:v>Agreed project decision; assessment qualifications retained</x:v>
      </x:c>
      <x:c r="G582" s="43" t="d">
        <x:v>2026-10-18T00:00:00.000Z</x:v>
      </x:c>
    </x:row>
    <x:row r="583" ht="125" customHeight="1">
      <x:c r="A583" s="33" t="str">
        <x:v>R-015</x:v>
      </x:c>
      <x:c r="B583" s="33" t="str">
        <x:v>D18</x:v>
      </x:c>
      <x:c r="C583" s="33" t="str">
        <x:v>AJ</x:v>
      </x:c>
      <x:c r="D583" s="33" t="str">
        <x:v>D11; D12; D13; D14</x:v>
      </x:c>
      <x:c r="E583" s="33" t="str">
        <x:v>D11; D12; D13; D14; D18</x:v>
      </x:c>
      <x:c r="F583" s="33" t="str">
        <x:v>Agreed project decision; assessment qualifications retained</x:v>
      </x:c>
      <x:c r="G583" s="43" t="d">
        <x:v>2026-10-18T00:00:00.000Z</x:v>
      </x:c>
    </x:row>
    <x:row r="584" ht="125" customHeight="1">
      <x:c r="A584" s="33" t="str">
        <x:v>R-015</x:v>
      </x:c>
      <x:c r="B584" s="33" t="str">
        <x:v>D18</x:v>
      </x:c>
      <x:c r="C584" s="33" t="str">
        <x:v>AK</x:v>
      </x:c>
      <x:c r="D584" s="33" t="str">
        <x:v>Draft judgment; not formal risk acceptance</x:v>
      </x:c>
      <x:c r="E584" s="33" t="str">
        <x:v>D18 project conclusion agreed; provisional assessment subject to stated controls, evidence and assumptions.</x:v>
      </x:c>
      <x:c r="F584" s="33" t="str">
        <x:v>Agreed project decision; assessment qualifications retained</x:v>
      </x:c>
      <x:c r="G584" s="43" t="d">
        <x:v>2026-10-18T00:00:00.000Z</x:v>
      </x:c>
    </x:row>
    <x:row r="585" ht="125" customHeight="1">
      <x:c r="A585" s="33" t="str">
        <x:v>R-016</x:v>
      </x:c>
      <x:c r="B585" s="33" t="str">
        <x:v>D18</x:v>
      </x:c>
      <x:c r="C585" s="33" t="str">
        <x:v>AJ</x:v>
      </x:c>
      <x:c r="D585" s="33" t="str">
        <x:v>D11; D12; D13; D14</x:v>
      </x:c>
      <x:c r="E585" s="33" t="str">
        <x:v>D11; D12; D13; D14; D18</x:v>
      </x:c>
      <x:c r="F585" s="33" t="str">
        <x:v>Agreed project decision; assessment qualifications retained</x:v>
      </x:c>
      <x:c r="G585" s="43" t="d">
        <x:v>2026-10-18T00:00:00.000Z</x:v>
      </x:c>
    </x:row>
    <x:row r="586" ht="125" customHeight="1">
      <x:c r="A586" s="33" t="str">
        <x:v>R-016</x:v>
      </x:c>
      <x:c r="B586" s="33" t="str">
        <x:v>D18</x:v>
      </x:c>
      <x:c r="C586" s="33" t="str">
        <x:v>AK</x:v>
      </x:c>
      <x:c r="D586" s="33" t="str">
        <x:v>Draft judgment; not formal risk acceptance</x:v>
      </x:c>
      <x:c r="E586" s="33" t="str">
        <x:v>D18 project conclusion agreed; provisional assessment subject to stated controls, evidence and assumptions.</x:v>
      </x:c>
      <x:c r="F586" s="33" t="str">
        <x:v>Agreed project decision; assessment qualifications retained</x:v>
      </x:c>
      <x:c r="G586" s="43" t="d">
        <x:v>2026-10-18T00:00:00.000Z</x:v>
      </x:c>
    </x:row>
    <x:row r="587" ht="125" customHeight="1">
      <x:c r="A587" s="33" t="str">
        <x:v>R-017</x:v>
      </x:c>
      <x:c r="B587" s="33" t="str">
        <x:v>D18</x:v>
      </x:c>
      <x:c r="C587" s="33" t="str">
        <x:v>AJ</x:v>
      </x:c>
      <x:c r="D587" s="33" t="str">
        <x:v>D01; D12; D13; D14</x:v>
      </x:c>
      <x:c r="E587" s="33" t="str">
        <x:v>D01; D12; D13; D14; D18</x:v>
      </x:c>
      <x:c r="F587" s="33" t="str">
        <x:v>Agreed project decision; assessment qualifications retained</x:v>
      </x:c>
      <x:c r="G587" s="43" t="d">
        <x:v>2026-10-18T00:00:00.000Z</x:v>
      </x:c>
    </x:row>
    <x:row r="588" ht="125" customHeight="1">
      <x:c r="A588" s="33" t="str">
        <x:v>R-017</x:v>
      </x:c>
      <x:c r="B588" s="33" t="str">
        <x:v>D18</x:v>
      </x:c>
      <x:c r="C588" s="33" t="str">
        <x:v>AK</x:v>
      </x:c>
      <x:c r="D588" s="33" t="str">
        <x:v>Draft judgment; not formal risk acceptance</x:v>
      </x:c>
      <x:c r="E588" s="33" t="str">
        <x:v>D18 project conclusion agreed; provisional assessment subject to stated controls, evidence and assumptions.</x:v>
      </x:c>
      <x:c r="F588" s="33" t="str">
        <x:v>Agreed project decision; assessment qualifications retained</x:v>
      </x:c>
      <x:c r="G588" s="43" t="d">
        <x:v>2026-10-18T00:00:00.000Z</x:v>
      </x:c>
    </x:row>
    <x:row r="589" ht="125" customHeight="1">
      <x:c r="A589" s="33" t="str">
        <x:v>R-018</x:v>
      </x:c>
      <x:c r="B589" s="33" t="str">
        <x:v>D18</x:v>
      </x:c>
      <x:c r="C589" s="33" t="str">
        <x:v>AJ</x:v>
      </x:c>
      <x:c r="D589" s="33" t="str">
        <x:v>D11; D12; D13; D14</x:v>
      </x:c>
      <x:c r="E589" s="33" t="str">
        <x:v>D11; D12; D13; D14; D18</x:v>
      </x:c>
      <x:c r="F589" s="33" t="str">
        <x:v>Agreed project decision; assessment qualifications retained</x:v>
      </x:c>
      <x:c r="G589" s="43" t="d">
        <x:v>2026-10-18T00:00:00.000Z</x:v>
      </x:c>
    </x:row>
    <x:row r="590" ht="125" customHeight="1">
      <x:c r="A590" s="33" t="str">
        <x:v>R-018</x:v>
      </x:c>
      <x:c r="B590" s="33" t="str">
        <x:v>D18</x:v>
      </x:c>
      <x:c r="C590" s="33" t="str">
        <x:v>AK</x:v>
      </x:c>
      <x:c r="D590" s="33" t="str">
        <x:v>Draft judgment; not formal risk acceptance</x:v>
      </x:c>
      <x:c r="E590" s="33" t="str">
        <x:v>D18 project conclusion agreed; provisional assessment subject to stated controls, evidence and assumptions.</x:v>
      </x:c>
      <x:c r="F590" s="33" t="str">
        <x:v>Agreed project decision; assessment qualifications retained</x:v>
      </x:c>
      <x:c r="G590" s="43" t="d">
        <x:v>2026-10-18T00:00:00.000Z</x:v>
      </x:c>
    </x:row>
    <x:row r="591" ht="125" customHeight="1">
      <x:c r="A591" s="33" t="str">
        <x:v>R-019</x:v>
      </x:c>
      <x:c r="B591" s="33" t="str">
        <x:v>D18</x:v>
      </x:c>
      <x:c r="C591" s="33" t="str">
        <x:v>AJ</x:v>
      </x:c>
      <x:c r="D591" s="33" t="str">
        <x:v>D11; D12; D13; D14</x:v>
      </x:c>
      <x:c r="E591" s="33" t="str">
        <x:v>D11; D12; D13; D14; D18</x:v>
      </x:c>
      <x:c r="F591" s="33" t="str">
        <x:v>Agreed project decision; assessment qualifications retained</x:v>
      </x:c>
      <x:c r="G591" s="43" t="d">
        <x:v>2026-10-18T00:00:00.000Z</x:v>
      </x:c>
    </x:row>
    <x:row r="592" ht="125" customHeight="1">
      <x:c r="A592" s="33" t="str">
        <x:v>R-019</x:v>
      </x:c>
      <x:c r="B592" s="33" t="str">
        <x:v>D18</x:v>
      </x:c>
      <x:c r="C592" s="33" t="str">
        <x:v>AK</x:v>
      </x:c>
      <x:c r="D592" s="33" t="str">
        <x:v>Draft judgment; not formal risk acceptance</x:v>
      </x:c>
      <x:c r="E592" s="33" t="str">
        <x:v>D18 project conclusion agreed; provisional assessment subject to stated controls, evidence and assumptions.</x:v>
      </x:c>
      <x:c r="F592" s="33" t="str">
        <x:v>Agreed project decision; assessment qualifications retained</x:v>
      </x:c>
      <x:c r="G592" s="43" t="d">
        <x:v>2026-10-18T00:00:00.000Z</x:v>
      </x:c>
    </x:row>
    <x:row r="593" ht="125" customHeight="1">
      <x:c r="A593" s="33" t="str">
        <x:v>R-020</x:v>
      </x:c>
      <x:c r="B593" s="33" t="str">
        <x:v>D18</x:v>
      </x:c>
      <x:c r="C593" s="33" t="str">
        <x:v>AJ</x:v>
      </x:c>
      <x:c r="D593" s="33" t="str">
        <x:v>D03; D10; D12; D13; D14</x:v>
      </x:c>
      <x:c r="E593" s="33" t="str">
        <x:v>D03; D10; D12; D13; D14; D18</x:v>
      </x:c>
      <x:c r="F593" s="33" t="str">
        <x:v>Agreed project decision; assessment qualifications retained</x:v>
      </x:c>
      <x:c r="G593" s="43" t="d">
        <x:v>2026-10-18T00:00:00.000Z</x:v>
      </x:c>
    </x:row>
    <x:row r="594" ht="125" customHeight="1">
      <x:c r="A594" s="33" t="str">
        <x:v>R-020</x:v>
      </x:c>
      <x:c r="B594" s="33" t="str">
        <x:v>D18</x:v>
      </x:c>
      <x:c r="C594" s="33" t="str">
        <x:v>AK</x:v>
      </x:c>
      <x:c r="D594" s="33" t="str">
        <x:v>Draft judgment; not formal risk acceptance</x:v>
      </x:c>
      <x:c r="E594" s="33" t="str">
        <x:v>D18 project conclusion agreed; provisional assessment subject to stated controls, evidence and assumptions.</x:v>
      </x:c>
      <x:c r="F594" s="33" t="str">
        <x:v>Agreed project decision; assessment qualifications retained</x:v>
      </x:c>
      <x:c r="G594" s="43" t="d">
        <x:v>2026-10-18T00:00:00.000Z</x:v>
      </x:c>
    </x:row>
    <x:row r="595" ht="125" customHeight="1">
      <x:c r="A595" s="33" t="str">
        <x:v>R-021</x:v>
      </x:c>
      <x:c r="B595" s="33" t="str">
        <x:v>D18</x:v>
      </x:c>
      <x:c r="C595" s="33" t="str">
        <x:v>AJ</x:v>
      </x:c>
      <x:c r="D595" s="33" t="str">
        <x:v>D04; D12; D13; D14</x:v>
      </x:c>
      <x:c r="E595" s="33" t="str">
        <x:v>D04; D12; D13; D14; D18</x:v>
      </x:c>
      <x:c r="F595" s="33" t="str">
        <x:v>Agreed project decision; assessment qualifications retained</x:v>
      </x:c>
      <x:c r="G595" s="43" t="d">
        <x:v>2026-10-18T00:00:00.000Z</x:v>
      </x:c>
    </x:row>
    <x:row r="596" ht="125" customHeight="1">
      <x:c r="A596" s="33" t="str">
        <x:v>R-021</x:v>
      </x:c>
      <x:c r="B596" s="33" t="str">
        <x:v>D18</x:v>
      </x:c>
      <x:c r="C596" s="33" t="str">
        <x:v>AK</x:v>
      </x:c>
      <x:c r="D596" s="33" t="str">
        <x:v>Draft judgment; not formal risk acceptance</x:v>
      </x:c>
      <x:c r="E596" s="33" t="str">
        <x:v>D18 project conclusion agreed; provisional assessment subject to stated controls, evidence and assumptions.</x:v>
      </x:c>
      <x:c r="F596" s="33" t="str">
        <x:v>Agreed project decision; assessment qualifications retained</x:v>
      </x:c>
      <x:c r="G596" s="43" t="d">
        <x:v>2026-10-18T00:00:00.000Z</x:v>
      </x:c>
    </x:row>
    <x:row r="597" ht="125" customHeight="1">
      <x:c r="A597" s="33" t="str">
        <x:v>R-022</x:v>
      </x:c>
      <x:c r="B597" s="33" t="str">
        <x:v>D18</x:v>
      </x:c>
      <x:c r="C597" s="33" t="str">
        <x:v>AJ</x:v>
      </x:c>
      <x:c r="D597" s="33" t="str">
        <x:v>D04; D10; D12; D13; D14</x:v>
      </x:c>
      <x:c r="E597" s="33" t="str">
        <x:v>D04; D10; D12; D13; D14; D18</x:v>
      </x:c>
      <x:c r="F597" s="33" t="str">
        <x:v>Agreed project decision; assessment qualifications retained</x:v>
      </x:c>
      <x:c r="G597" s="43" t="d">
        <x:v>2026-10-18T00:00:00.000Z</x:v>
      </x:c>
    </x:row>
    <x:row r="598" ht="125" customHeight="1">
      <x:c r="A598" s="33" t="str">
        <x:v>R-022</x:v>
      </x:c>
      <x:c r="B598" s="33" t="str">
        <x:v>D18</x:v>
      </x:c>
      <x:c r="C598" s="33" t="str">
        <x:v>AK</x:v>
      </x:c>
      <x:c r="D598" s="33" t="str">
        <x:v>Draft judgment; not formal risk acceptance</x:v>
      </x:c>
      <x:c r="E598" s="33" t="str">
        <x:v>D18 project conclusion agreed; provisional assessment subject to stated controls, evidence and assumptions.</x:v>
      </x:c>
      <x:c r="F598" s="33" t="str">
        <x:v>Agreed project decision; assessment qualifications retained</x:v>
      </x:c>
      <x:c r="G598" s="43" t="d">
        <x:v>2026-10-18T00:00:00.000Z</x:v>
      </x:c>
    </x:row>
    <x:row r="599" ht="125" customHeight="1">
      <x:c r="A599" s="33" t="str">
        <x:v>R-023</x:v>
      </x:c>
      <x:c r="B599" s="33" t="str">
        <x:v>D18</x:v>
      </x:c>
      <x:c r="C599" s="33" t="str">
        <x:v>AJ</x:v>
      </x:c>
      <x:c r="D599" s="33" t="str">
        <x:v>D11; D12; D13; D14</x:v>
      </x:c>
      <x:c r="E599" s="33" t="str">
        <x:v>D11; D12; D13; D14; D18</x:v>
      </x:c>
      <x:c r="F599" s="33" t="str">
        <x:v>Agreed project decision; assessment qualifications retained</x:v>
      </x:c>
      <x:c r="G599" s="43" t="d">
        <x:v>2026-10-18T00:00:00.000Z</x:v>
      </x:c>
    </x:row>
    <x:row r="600" ht="125" customHeight="1">
      <x:c r="A600" s="33" t="str">
        <x:v>R-023</x:v>
      </x:c>
      <x:c r="B600" s="33" t="str">
        <x:v>D18</x:v>
      </x:c>
      <x:c r="C600" s="33" t="str">
        <x:v>AK</x:v>
      </x:c>
      <x:c r="D600" s="33" t="str">
        <x:v>Draft judgment; not formal risk acceptance</x:v>
      </x:c>
      <x:c r="E600" s="33" t="str">
        <x:v>D18 project conclusion agreed; provisional assessment subject to stated controls, evidence and assumptions.</x:v>
      </x:c>
      <x:c r="F600" s="33" t="str">
        <x:v>Agreed project decision; assessment qualifications retained</x:v>
      </x:c>
      <x:c r="G600" s="43" t="d">
        <x:v>2026-10-18T00:00:00.000Z</x:v>
      </x:c>
    </x:row>
    <x:row r="601" ht="125" customHeight="1">
      <x:c r="A601" s="33" t="str">
        <x:v>R-025</x:v>
      </x:c>
      <x:c r="B601" s="33" t="str">
        <x:v>D18</x:v>
      </x:c>
      <x:c r="C601" s="33" t="str">
        <x:v>AJ</x:v>
      </x:c>
      <x:c r="D601" s="33" t="str">
        <x:v>D04; D11; D12; D13; D14</x:v>
      </x:c>
      <x:c r="E601" s="33" t="str">
        <x:v>D04; D11; D12; D13; D14; D18; D15</x:v>
      </x:c>
      <x:c r="F601" s="33" t="str">
        <x:v>Agreed project decision; assessment qualifications retained</x:v>
      </x:c>
      <x:c r="G601" s="43" t="d">
        <x:v>2026-10-18T00:00:00.000Z</x:v>
      </x:c>
    </x:row>
    <x:row r="602" ht="125" customHeight="1">
      <x:c r="A602" s="33" t="str">
        <x:v>R-026</x:v>
      </x:c>
      <x:c r="B602" s="33" t="str">
        <x:v>D18</x:v>
      </x:c>
      <x:c r="C602" s="33" t="str">
        <x:v>AJ</x:v>
      </x:c>
      <x:c r="D602" s="33" t="str">
        <x:v>D11; D12; D13; D14</x:v>
      </x:c>
      <x:c r="E602" s="33" t="str">
        <x:v>D11; D12; D13; D14; D18</x:v>
      </x:c>
      <x:c r="F602" s="33" t="str">
        <x:v>Agreed project decision; assessment qualifications retained</x:v>
      </x:c>
      <x:c r="G602" s="43" t="d">
        <x:v>2026-10-18T00:00:00.000Z</x:v>
      </x:c>
    </x:row>
    <x:row r="603" ht="125" customHeight="1">
      <x:c r="A603" s="33" t="str">
        <x:v>R-026</x:v>
      </x:c>
      <x:c r="B603" s="33" t="str">
        <x:v>D18</x:v>
      </x:c>
      <x:c r="C603" s="33" t="str">
        <x:v>AK</x:v>
      </x:c>
      <x:c r="D603" s="33" t="str">
        <x:v>Draft judgment; not formal risk acceptance</x:v>
      </x:c>
      <x:c r="E603" s="33" t="str">
        <x:v>D18 project conclusion agreed; provisional assessment subject to stated controls, evidence and assumptions.</x:v>
      </x:c>
      <x:c r="F603" s="33" t="str">
        <x:v>Agreed project decision; assessment qualifications retained</x:v>
      </x:c>
      <x:c r="G603" s="43" t="d">
        <x:v>2026-10-18T00:00:00.000Z</x:v>
      </x:c>
    </x:row>
    <x:row r="604" ht="125" customHeight="1">
      <x:c r="A604" s="33" t="str">
        <x:v>R-028</x:v>
      </x:c>
      <x:c r="B604" s="33" t="str">
        <x:v>D18</x:v>
      </x:c>
      <x:c r="C604" s="33" t="str">
        <x:v>AJ</x:v>
      </x:c>
      <x:c r="D604" s="33" t="str">
        <x:v>D05; D12; D13; D14</x:v>
      </x:c>
      <x:c r="E604" s="33" t="str">
        <x:v>D05; D12; D13; D14; D18</x:v>
      </x:c>
      <x:c r="F604" s="33" t="str">
        <x:v>Agreed project decision; assessment qualifications retained</x:v>
      </x:c>
      <x:c r="G604" s="43" t="d">
        <x:v>2026-10-18T00:00:00.000Z</x:v>
      </x:c>
    </x:row>
    <x:row r="605" ht="125" customHeight="1">
      <x:c r="A605" s="33" t="str">
        <x:v>R-028</x:v>
      </x:c>
      <x:c r="B605" s="33" t="str">
        <x:v>D18</x:v>
      </x:c>
      <x:c r="C605" s="33" t="str">
        <x:v>AK</x:v>
      </x:c>
      <x:c r="D605" s="33" t="str">
        <x:v>Draft judgment; not formal risk acceptance</x:v>
      </x:c>
      <x:c r="E605" s="33" t="str">
        <x:v>D18 project conclusion agreed; provisional assessment subject to stated controls, evidence and assumptions.</x:v>
      </x:c>
      <x:c r="F605" s="33" t="str">
        <x:v>Agreed project decision; assessment qualifications retained</x:v>
      </x:c>
      <x:c r="G605" s="43" t="d">
        <x:v>2026-10-18T00:00:00.000Z</x:v>
      </x:c>
    </x:row>
    <x:row r="606" ht="125" customHeight="1">
      <x:c r="A606" s="33" t="str">
        <x:v>R-029</x:v>
      </x:c>
      <x:c r="B606" s="33" t="str">
        <x:v>D18</x:v>
      </x:c>
      <x:c r="C606" s="33" t="str">
        <x:v>AJ</x:v>
      </x:c>
      <x:c r="D606" s="33" t="str">
        <x:v>D11; D12; D13; D14</x:v>
      </x:c>
      <x:c r="E606" s="33" t="str">
        <x:v>D11; D12; D13; D14; D18</x:v>
      </x:c>
      <x:c r="F606" s="33" t="str">
        <x:v>Agreed project decision; assessment qualifications retained</x:v>
      </x:c>
      <x:c r="G606" s="43" t="d">
        <x:v>2026-10-18T00:00:00.000Z</x:v>
      </x:c>
    </x:row>
    <x:row r="607" ht="125" customHeight="1">
      <x:c r="A607" s="33" t="str">
        <x:v>R-029</x:v>
      </x:c>
      <x:c r="B607" s="33" t="str">
        <x:v>D18</x:v>
      </x:c>
      <x:c r="C607" s="33" t="str">
        <x:v>AK</x:v>
      </x:c>
      <x:c r="D607" s="33" t="str">
        <x:v>Draft judgment; not formal risk acceptance</x:v>
      </x:c>
      <x:c r="E607" s="33" t="str">
        <x:v>D18 project conclusion agreed; provisional assessment subject to stated controls, evidence and assumptions.</x:v>
      </x:c>
      <x:c r="F607" s="33" t="str">
        <x:v>Agreed project decision; assessment qualifications retained</x:v>
      </x:c>
      <x:c r="G607" s="43" t="d">
        <x:v>2026-10-18T00:00:00.000Z</x:v>
      </x:c>
    </x:row>
    <x:row r="608" ht="125" customHeight="1">
      <x:c r="A608" s="33" t="str">
        <x:v>R-030</x:v>
      </x:c>
      <x:c r="B608" s="33" t="str">
        <x:v>D18</x:v>
      </x:c>
      <x:c r="C608" s="33" t="str">
        <x:v>AJ</x:v>
      </x:c>
      <x:c r="D608" s="33" t="str">
        <x:v>D01; D06; D12; D13; D14</x:v>
      </x:c>
      <x:c r="E608" s="33" t="str">
        <x:v>D01; D06; D12; D13; D14; D18</x:v>
      </x:c>
      <x:c r="F608" s="33" t="str">
        <x:v>Agreed project decision; assessment qualifications retained</x:v>
      </x:c>
      <x:c r="G608" s="43" t="d">
        <x:v>2026-10-18T00:00:00.000Z</x:v>
      </x:c>
    </x:row>
    <x:row r="609" ht="125" customHeight="1">
      <x:c r="A609" s="33" t="str">
        <x:v>R-030</x:v>
      </x:c>
      <x:c r="B609" s="33" t="str">
        <x:v>D18</x:v>
      </x:c>
      <x:c r="C609" s="33" t="str">
        <x:v>AK</x:v>
      </x:c>
      <x:c r="D609" s="33" t="str">
        <x:v>Draft judgment; not formal risk acceptance</x:v>
      </x:c>
      <x:c r="E609" s="33" t="str">
        <x:v>D18 project conclusion agreed; provisional assessment subject to stated controls, evidence and assumptions.</x:v>
      </x:c>
      <x:c r="F609" s="33" t="str">
        <x:v>Agreed project decision; assessment qualifications retained</x:v>
      </x:c>
      <x:c r="G609" s="43" t="d">
        <x:v>2026-10-18T00:00:00.000Z</x:v>
      </x:c>
    </x:row>
    <x:row r="610" ht="125" customHeight="1">
      <x:c r="A610" s="33" t="str">
        <x:v>R-031</x:v>
      </x:c>
      <x:c r="B610" s="33" t="str">
        <x:v>D18</x:v>
      </x:c>
      <x:c r="C610" s="33" t="str">
        <x:v>AJ</x:v>
      </x:c>
      <x:c r="D610" s="33" t="str">
        <x:v>D11; D12; D13; D14</x:v>
      </x:c>
      <x:c r="E610" s="33" t="str">
        <x:v>D11; D12; D13; D14; D18</x:v>
      </x:c>
      <x:c r="F610" s="33" t="str">
        <x:v>Agreed project decision; assessment qualifications retained</x:v>
      </x:c>
      <x:c r="G610" s="43" t="d">
        <x:v>2026-10-18T00:00:00.000Z</x:v>
      </x:c>
    </x:row>
    <x:row r="611" ht="125" customHeight="1">
      <x:c r="A611" s="33" t="str">
        <x:v>R-031</x:v>
      </x:c>
      <x:c r="B611" s="33" t="str">
        <x:v>D18</x:v>
      </x:c>
      <x:c r="C611" s="33" t="str">
        <x:v>AK</x:v>
      </x:c>
      <x:c r="D611" s="33" t="str">
        <x:v>Draft judgment; not formal risk acceptance</x:v>
      </x:c>
      <x:c r="E611" s="33" t="str">
        <x:v>D18 project conclusion agreed; provisional assessment subject to stated controls, evidence and assumptions.</x:v>
      </x:c>
      <x:c r="F611" s="33" t="str">
        <x:v>Agreed project decision; assessment qualifications retained</x:v>
      </x:c>
      <x:c r="G611" s="43" t="d">
        <x:v>2026-10-18T00:00:00.000Z</x:v>
      </x:c>
    </x:row>
    <x:row r="612" ht="125" customHeight="1">
      <x:c r="A612" s="33" t="str">
        <x:v>R-032</x:v>
      </x:c>
      <x:c r="B612" s="33" t="str">
        <x:v>D18</x:v>
      </x:c>
      <x:c r="C612" s="33" t="str">
        <x:v>AJ</x:v>
      </x:c>
      <x:c r="D612" s="33" t="str">
        <x:v>D11; D12; D13; D14</x:v>
      </x:c>
      <x:c r="E612" s="33" t="str">
        <x:v>D11; D12; D13; D14; D18</x:v>
      </x:c>
      <x:c r="F612" s="33" t="str">
        <x:v>Agreed project decision; assessment qualifications retained</x:v>
      </x:c>
      <x:c r="G612" s="43" t="d">
        <x:v>2026-10-18T00:00:00.000Z</x:v>
      </x:c>
    </x:row>
    <x:row r="613" ht="125" customHeight="1">
      <x:c r="A613" s="33" t="str">
        <x:v>R-032</x:v>
      </x:c>
      <x:c r="B613" s="33" t="str">
        <x:v>D18</x:v>
      </x:c>
      <x:c r="C613" s="33" t="str">
        <x:v>AK</x:v>
      </x:c>
      <x:c r="D613" s="33" t="str">
        <x:v>Draft judgment; not formal risk acceptance</x:v>
      </x:c>
      <x:c r="E613" s="33" t="str">
        <x:v>D18 project conclusion agreed; provisional assessment subject to stated controls, evidence and assumptions.</x:v>
      </x:c>
      <x:c r="F613" s="33" t="str">
        <x:v>Agreed project decision; assessment qualifications retained</x:v>
      </x:c>
      <x:c r="G613" s="43" t="d">
        <x:v>2026-10-18T00:00:00.000Z</x:v>
      </x:c>
    </x:row>
    <x:row r="614" ht="125" customHeight="1">
      <x:c r="A614" s="33" t="str">
        <x:v>R-033</x:v>
      </x:c>
      <x:c r="B614" s="33" t="str">
        <x:v>D18</x:v>
      </x:c>
      <x:c r="C614" s="33" t="str">
        <x:v>AJ</x:v>
      </x:c>
      <x:c r="D614" s="33" t="str">
        <x:v>D03; D10; D11; D12; D13; D14</x:v>
      </x:c>
      <x:c r="E614" s="33" t="str">
        <x:v>D03; D10; D11; D12; D13; D14; D18; D16</x:v>
      </x:c>
      <x:c r="F614" s="33" t="str">
        <x:v>Agreed project decision; assessment qualifications retained</x:v>
      </x:c>
      <x:c r="G614" s="43" t="d">
        <x:v>2026-10-18T00:00:00.000Z</x:v>
      </x:c>
    </x:row>
    <x:row r="615" ht="125" customHeight="1">
      <x:c r="A615" s="33" t="str">
        <x:v>R-034</x:v>
      </x:c>
      <x:c r="B615" s="33" t="str">
        <x:v>D18</x:v>
      </x:c>
      <x:c r="C615" s="33" t="str">
        <x:v>AJ</x:v>
      </x:c>
      <x:c r="D615" s="33" t="str">
        <x:v>D01; D12; D13; D14</x:v>
      </x:c>
      <x:c r="E615" s="33" t="str">
        <x:v>D01; D12; D13; D14; D18</x:v>
      </x:c>
      <x:c r="F615" s="33" t="str">
        <x:v>Agreed project decision; assessment qualifications retained</x:v>
      </x:c>
      <x:c r="G615" s="43" t="d">
        <x:v>2026-10-18T00:00:00.000Z</x:v>
      </x:c>
    </x:row>
    <x:row r="616" ht="125" customHeight="1">
      <x:c r="A616" s="33" t="str">
        <x:v>R-034</x:v>
      </x:c>
      <x:c r="B616" s="33" t="str">
        <x:v>D18</x:v>
      </x:c>
      <x:c r="C616" s="33" t="str">
        <x:v>AK</x:v>
      </x:c>
      <x:c r="D616" s="33" t="str">
        <x:v>Draft judgment; not formal risk acceptance</x:v>
      </x:c>
      <x:c r="E616" s="33" t="str">
        <x:v>D18 project conclusion agreed; provisional assessment subject to stated controls, evidence and assumptions.</x:v>
      </x:c>
      <x:c r="F616" s="33" t="str">
        <x:v>Agreed project decision; assessment qualifications retained</x:v>
      </x:c>
      <x:c r="G616" s="43" t="d">
        <x:v>2026-10-18T00:00:00.000Z</x:v>
      </x:c>
    </x:row>
    <x:row r="617" ht="125" customHeight="1">
      <x:c r="A617" s="33" t="str">
        <x:v>R-035</x:v>
      </x:c>
      <x:c r="B617" s="33" t="str">
        <x:v>D18</x:v>
      </x:c>
      <x:c r="C617" s="33" t="str">
        <x:v>AJ</x:v>
      </x:c>
      <x:c r="D617" s="33" t="str">
        <x:v>D05; D12; D13; D14</x:v>
      </x:c>
      <x:c r="E617" s="33" t="str">
        <x:v>D05; D12; D13; D14; D18</x:v>
      </x:c>
      <x:c r="F617" s="33" t="str">
        <x:v>Agreed project decision; assessment qualifications retained</x:v>
      </x:c>
      <x:c r="G617" s="43" t="d">
        <x:v>2026-10-18T00:00:00.000Z</x:v>
      </x:c>
    </x:row>
    <x:row r="618" ht="125" customHeight="1">
      <x:c r="A618" s="33" t="str">
        <x:v>R-035</x:v>
      </x:c>
      <x:c r="B618" s="33" t="str">
        <x:v>D18</x:v>
      </x:c>
      <x:c r="C618" s="33" t="str">
        <x:v>AK</x:v>
      </x:c>
      <x:c r="D618" s="33" t="str">
        <x:v>Draft judgment; not formal risk acceptance</x:v>
      </x:c>
      <x:c r="E618" s="33" t="str">
        <x:v>D18 project conclusion agreed; provisional assessment subject to stated controls, evidence and assumptions.</x:v>
      </x:c>
      <x:c r="F618" s="33" t="str">
        <x:v>Agreed project decision; assessment qualifications retained</x:v>
      </x:c>
      <x:c r="G618" s="43" t="d">
        <x:v>2026-10-18T00:00:00.000Z</x:v>
      </x:c>
    </x:row>
    <x:row r="619" ht="125" customHeight="1">
      <x:c r="A619" s="33" t="str">
        <x:v>R-036</x:v>
      </x:c>
      <x:c r="B619" s="33" t="str">
        <x:v>D18</x:v>
      </x:c>
      <x:c r="C619" s="33" t="str">
        <x:v>AJ</x:v>
      </x:c>
      <x:c r="D619" s="33" t="str">
        <x:v>D01; D06; D12; D13; D14</x:v>
      </x:c>
      <x:c r="E619" s="33" t="str">
        <x:v>D01; D06; D12; D13; D14; D18</x:v>
      </x:c>
      <x:c r="F619" s="33" t="str">
        <x:v>Agreed project decision; assessment qualifications retained</x:v>
      </x:c>
      <x:c r="G619" s="43" t="d">
        <x:v>2026-10-18T00:00:00.000Z</x:v>
      </x:c>
    </x:row>
    <x:row r="620" ht="125" customHeight="1">
      <x:c r="A620" s="33" t="str">
        <x:v>R-036</x:v>
      </x:c>
      <x:c r="B620" s="33" t="str">
        <x:v>D18</x:v>
      </x:c>
      <x:c r="C620" s="33" t="str">
        <x:v>AK</x:v>
      </x:c>
      <x:c r="D620" s="33" t="str">
        <x:v>Draft judgment; not formal risk acceptance</x:v>
      </x:c>
      <x:c r="E620" s="33" t="str">
        <x:v>D18 project conclusion agreed; provisional assessment subject to stated controls, evidence and assumptions.</x:v>
      </x:c>
      <x:c r="F620" s="33" t="str">
        <x:v>Agreed project decision; assessment qualifications retained</x:v>
      </x:c>
      <x:c r="G620" s="43" t="d">
        <x:v>2026-10-18T00:00:00.000Z</x:v>
      </x:c>
    </x:row>
    <x:row r="621" ht="125" customHeight="1">
      <x:c r="A621" s="33" t="str">
        <x:v>R-037</x:v>
      </x:c>
      <x:c r="B621" s="33" t="str">
        <x:v>D18</x:v>
      </x:c>
      <x:c r="C621" s="33" t="str">
        <x:v>AJ</x:v>
      </x:c>
      <x:c r="D621" s="33" t="str">
        <x:v>D09; D12; D13; D14</x:v>
      </x:c>
      <x:c r="E621" s="33" t="str">
        <x:v>D09; D12; D13; D14; D18</x:v>
      </x:c>
      <x:c r="F621" s="33" t="str">
        <x:v>Agreed project decision; assessment qualifications retained</x:v>
      </x:c>
      <x:c r="G621" s="43" t="d">
        <x:v>2026-10-18T00:00:00.000Z</x:v>
      </x:c>
    </x:row>
    <x:row r="622" ht="125" customHeight="1">
      <x:c r="A622" s="33" t="str">
        <x:v>R-037</x:v>
      </x:c>
      <x:c r="B622" s="33" t="str">
        <x:v>D18</x:v>
      </x:c>
      <x:c r="C622" s="33" t="str">
        <x:v>AK</x:v>
      </x:c>
      <x:c r="D622" s="33" t="str">
        <x:v>Draft judgment; not formal risk acceptance</x:v>
      </x:c>
      <x:c r="E622" s="33" t="str">
        <x:v>D18 project conclusion agreed; provisional assessment subject to stated controls, evidence and assumptions.</x:v>
      </x:c>
      <x:c r="F622" s="33" t="str">
        <x:v>Agreed project decision; assessment qualifications retained</x:v>
      </x:c>
      <x:c r="G622" s="43" t="d">
        <x:v>2026-10-18T00:00:00.000Z</x:v>
      </x:c>
    </x:row>
    <x:row r="623" ht="125" customHeight="1">
      <x:c r="A623" s="33" t="str">
        <x:v>R-038</x:v>
      </x:c>
      <x:c r="B623" s="33" t="str">
        <x:v>D18</x:v>
      </x:c>
      <x:c r="C623" s="33" t="str">
        <x:v>AJ</x:v>
      </x:c>
      <x:c r="D623" s="33" t="str">
        <x:v>D08; D09; D12; D13; D14</x:v>
      </x:c>
      <x:c r="E623" s="33" t="str">
        <x:v>D08; D09; D12; D13; D14; D18</x:v>
      </x:c>
      <x:c r="F623" s="33" t="str">
        <x:v>Agreed project decision; assessment qualifications retained</x:v>
      </x:c>
      <x:c r="G623" s="43" t="d">
        <x:v>2026-10-18T00:00:00.000Z</x:v>
      </x:c>
    </x:row>
    <x:row r="624" ht="125" customHeight="1">
      <x:c r="A624" s="33" t="str">
        <x:v>R-038</x:v>
      </x:c>
      <x:c r="B624" s="33" t="str">
        <x:v>D18</x:v>
      </x:c>
      <x:c r="C624" s="33" t="str">
        <x:v>AK</x:v>
      </x:c>
      <x:c r="D624" s="33" t="str">
        <x:v>Draft judgment; not formal risk acceptance</x:v>
      </x:c>
      <x:c r="E624" s="33" t="str">
        <x:v>D18 project conclusion agreed; provisional assessment subject to stated controls, evidence and assumptions.</x:v>
      </x:c>
      <x:c r="F624" s="33" t="str">
        <x:v>Agreed project decision; assessment qualifications retained</x:v>
      </x:c>
      <x:c r="G624" s="43" t="d">
        <x:v>2026-10-18T00:00:00.000Z</x:v>
      </x:c>
    </x:row>
    <x:row r="625" ht="125" customHeight="1">
      <x:c r="A625" s="33" t="str">
        <x:v>R-039</x:v>
      </x:c>
      <x:c r="B625" s="33" t="str">
        <x:v>D18</x:v>
      </x:c>
      <x:c r="C625" s="33" t="str">
        <x:v>AJ</x:v>
      </x:c>
      <x:c r="D625" s="33" t="str">
        <x:v>D11; D12; D13; D14</x:v>
      </x:c>
      <x:c r="E625" s="33" t="str">
        <x:v>D11; D12; D13; D14; D18</x:v>
      </x:c>
      <x:c r="F625" s="33" t="str">
        <x:v>Agreed project decision; assessment qualifications retained</x:v>
      </x:c>
      <x:c r="G625" s="43" t="d">
        <x:v>2026-10-18T00:00:00.000Z</x:v>
      </x:c>
    </x:row>
    <x:row r="626" ht="125" customHeight="1">
      <x:c r="A626" s="33" t="str">
        <x:v>R-039</x:v>
      </x:c>
      <x:c r="B626" s="33" t="str">
        <x:v>D18</x:v>
      </x:c>
      <x:c r="C626" s="33" t="str">
        <x:v>AK</x:v>
      </x:c>
      <x:c r="D626" s="33" t="str">
        <x:v>Draft judgment; not formal risk acceptance</x:v>
      </x:c>
      <x:c r="E626" s="33" t="str">
        <x:v>D18 agreed: decision remains unresolved pending material financial evidence; exposure is not accepted.</x:v>
      </x:c>
      <x:c r="F626" s="33" t="str">
        <x:v>Agreed project decision; assessment qualifications retained</x:v>
      </x:c>
      <x:c r="G626" s="43" t="d">
        <x:v>2026-10-18T00:00:00.000Z</x:v>
      </x:c>
    </x:row>
    <x:row r="627" ht="125" customHeight="1">
      <x:c r="A627" s="33" t="str">
        <x:v>R-040</x:v>
      </x:c>
      <x:c r="B627" s="33" t="str">
        <x:v>D18</x:v>
      </x:c>
      <x:c r="C627" s="33" t="str">
        <x:v>AJ</x:v>
      </x:c>
      <x:c r="D627" s="33" t="str">
        <x:v>D11; D12; D13; D14</x:v>
      </x:c>
      <x:c r="E627" s="33" t="str">
        <x:v>D11; D12; D13; D14; D18</x:v>
      </x:c>
      <x:c r="F627" s="33" t="str">
        <x:v>Agreed project decision; assessment qualifications retained</x:v>
      </x:c>
      <x:c r="G627" s="43" t="d">
        <x:v>2026-10-18T00:00:00.000Z</x:v>
      </x:c>
    </x:row>
    <x:row r="628" ht="125" customHeight="1">
      <x:c r="A628" s="33" t="str">
        <x:v>R-040</x:v>
      </x:c>
      <x:c r="B628" s="33" t="str">
        <x:v>D18</x:v>
      </x:c>
      <x:c r="C628" s="33" t="str">
        <x:v>AK</x:v>
      </x:c>
      <x:c r="D628" s="33" t="str">
        <x:v>Draft judgment; not formal risk acceptance</x:v>
      </x:c>
      <x:c r="E628" s="33" t="str">
        <x:v>D18 project conclusion agreed; provisional assessment subject to stated controls, evidence and assumptions.</x:v>
      </x:c>
      <x:c r="F628" s="33" t="str">
        <x:v>Agreed project decision; assessment qualifications retained</x:v>
      </x:c>
      <x:c r="G628" s="43" t="d">
        <x:v>2026-10-18T00:00:00.000Z</x:v>
      </x:c>
    </x:row>
    <x:row r="629" ht="125" customHeight="1">
      <x:c r="A629" s="33" t="str">
        <x:v>R-041</x:v>
      </x:c>
      <x:c r="B629" s="33" t="str">
        <x:v>D18</x:v>
      </x:c>
      <x:c r="C629" s="33" t="str">
        <x:v>AJ</x:v>
      </x:c>
      <x:c r="D629" s="33" t="str">
        <x:v>D11; D12; D13; D14</x:v>
      </x:c>
      <x:c r="E629" s="33" t="str">
        <x:v>D11; D12; D13; D14; D18</x:v>
      </x:c>
      <x:c r="F629" s="33" t="str">
        <x:v>Agreed project decision; assessment qualifications retained</x:v>
      </x:c>
      <x:c r="G629" s="43" t="d">
        <x:v>2026-10-18T00:00:00.000Z</x:v>
      </x:c>
    </x:row>
    <x:row r="630" ht="125" customHeight="1">
      <x:c r="A630" s="33" t="str">
        <x:v>R-041</x:v>
      </x:c>
      <x:c r="B630" s="33" t="str">
        <x:v>D18</x:v>
      </x:c>
      <x:c r="C630" s="33" t="str">
        <x:v>AK</x:v>
      </x:c>
      <x:c r="D630" s="33" t="str">
        <x:v>Draft judgment; not formal risk acceptance</x:v>
      </x:c>
      <x:c r="E630" s="33" t="str">
        <x:v>D18 agreed: decision remains unresolved pending material financial evidence; exposure is not accepted.</x:v>
      </x:c>
      <x:c r="F630" s="33" t="str">
        <x:v>Agreed project decision; assessment qualifications retained</x:v>
      </x:c>
      <x:c r="G630" s="43" t="d">
        <x:v>2026-10-18T00:00:00.000Z</x:v>
      </x:c>
    </x:row>
    <x:row r="631" ht="125" customHeight="1">
      <x:c r="A631" s="33" t="str">
        <x:v>R-042</x:v>
      </x:c>
      <x:c r="B631" s="33" t="str">
        <x:v>D18</x:v>
      </x:c>
      <x:c r="C631" s="33" t="str">
        <x:v>AJ</x:v>
      </x:c>
      <x:c r="D631" s="33" t="str">
        <x:v>D07; D11; D12; D13; D14</x:v>
      </x:c>
      <x:c r="E631" s="33" t="str">
        <x:v>D07; D11; D12; D13; D14; D18; D17</x:v>
      </x:c>
      <x:c r="F631" s="33" t="str">
        <x:v>Agreed project decision; assessment qualifications retained</x:v>
      </x:c>
      <x:c r="G631" s="43" t="d">
        <x:v>2026-10-18T00:00:00.000Z</x:v>
      </x:c>
    </x:row>
    <x:row r="632" ht="125" customHeight="1">
      <x:c r="A632" s="33" t="str">
        <x:v>R-044</x:v>
      </x:c>
      <x:c r="B632" s="33" t="str">
        <x:v>D18</x:v>
      </x:c>
      <x:c r="C632" s="33" t="str">
        <x:v>AJ</x:v>
      </x:c>
      <x:c r="D632" s="33" t="str">
        <x:v>D11; D12; D13; D14</x:v>
      </x:c>
      <x:c r="E632" s="33" t="str">
        <x:v>D11; D12; D13; D14; D18</x:v>
      </x:c>
      <x:c r="F632" s="33" t="str">
        <x:v>Agreed project decision; assessment qualifications retained</x:v>
      </x:c>
      <x:c r="G632" s="43" t="d">
        <x:v>2026-10-18T00:00:00.000Z</x:v>
      </x:c>
    </x:row>
    <x:row r="633" ht="125" customHeight="1">
      <x:c r="A633" s="33" t="str">
        <x:v>R-044</x:v>
      </x:c>
      <x:c r="B633" s="33" t="str">
        <x:v>D18</x:v>
      </x:c>
      <x:c r="C633" s="33" t="str">
        <x:v>AK</x:v>
      </x:c>
      <x:c r="D633" s="33" t="str">
        <x:v>Draft judgment; not formal risk acceptance</x:v>
      </x:c>
      <x:c r="E633" s="33" t="str">
        <x:v>D18 project conclusion agreed; provisional assessment subject to stated controls, evidence and assumptions.</x:v>
      </x:c>
      <x:c r="F633" s="33" t="str">
        <x:v>Agreed project decision; assessment qualifications retained</x:v>
      </x:c>
      <x:c r="G633" s="43" t="d">
        <x:v>2026-10-18T00:00:00.000Z</x:v>
      </x:c>
    </x:row>
    <x:row r="634" ht="125" customHeight="1">
      <x:c r="A634" s="33" t="str">
        <x:v>R-045</x:v>
      </x:c>
      <x:c r="B634" s="33" t="str">
        <x:v>D18</x:v>
      </x:c>
      <x:c r="C634" s="33" t="str">
        <x:v>AJ</x:v>
      </x:c>
      <x:c r="D634" s="33" t="str">
        <x:v>D01; M5 decision; D12; D13; D14</x:v>
      </x:c>
      <x:c r="E634" s="33" t="str">
        <x:v>D01; M5 decision; D12; D13; D14; D18</x:v>
      </x:c>
      <x:c r="F634" s="33" t="str">
        <x:v>Agreed project decision; assessment qualifications retained</x:v>
      </x:c>
      <x:c r="G634" s="43" t="d">
        <x:v>2026-10-18T00:00:00.000Z</x:v>
      </x:c>
    </x:row>
    <x:row r="635" ht="125" customHeight="1">
      <x:c r="A635" s="33" t="str">
        <x:v>R-045</x:v>
      </x:c>
      <x:c r="B635" s="33" t="str">
        <x:v>D18</x:v>
      </x:c>
      <x:c r="C635" s="33" t="str">
        <x:v>AK</x:v>
      </x:c>
      <x:c r="D635" s="33" t="str">
        <x:v>Draft judgment; not formal risk acceptance</x:v>
      </x:c>
      <x:c r="E635" s="33" t="str">
        <x:v>D18 project conclusion agreed; provisional assessment subject to stated controls, evidence and assumptions.</x:v>
      </x:c>
      <x:c r="F635" s="33" t="str">
        <x:v>Agreed project decision; assessment qualifications retained</x:v>
      </x:c>
      <x:c r="G635" s="43" t="d">
        <x:v>2026-10-18T00:00:00.000Z</x:v>
      </x:c>
    </x:row>
    <x:row r="636" ht="125" customHeight="1">
      <x:c r="A636" s="33" t="str">
        <x:v>R-037</x:v>
      </x:c>
      <x:c r="B636" s="33" t="str">
        <x:v>D18</x:v>
      </x:c>
      <x:c r="C636" s="33" t="str">
        <x:v>X</x:v>
      </x:c>
      <x:c r="D636" s="33" t="str">
        <x:v>Tolerable provisionally as an unavoidable, moderate commercial exposure to household affordability pressure, assuming premium losses remain within financial capacity and customers are treated appropriately. This assumption must be tested against portfolio forecasts.</x:v>
      </x:c>
      <x:c r="E636" s="33" t="str">
        <x:v>Tolerable provisionally as an unavoidable, moderate commercial exposure to household affordability pressure, assuming premium losses remain within financial capacity and customers are treated appropriately. This assumption must be tested against portfolio forecasts. Assess combined premium-income effects across R-037, R-038 and R-040; individual affordability does not establish aggregate capacity.</x:v>
      </x:c>
      <x:c r="F636" s="33" t="str">
        <x:v>Agreed project decision; assessment qualifications retained</x:v>
      </x:c>
      <x:c r="G636" s="43" t="d">
        <x:v>2026-10-18T00:00:00.000Z</x:v>
      </x:c>
    </x:row>
    <x:row r="637" ht="125" customHeight="1">
      <x:c r="A637" s="33" t="str">
        <x:v>R-038</x:v>
      </x:c>
      <x:c r="B637" s="33" t="str">
        <x:v>D18</x:v>
      </x:c>
      <x:c r="C637" s="33" t="str">
        <x:v>X</x:v>
      </x:c>
      <x:c r="D637" s="33" t="str">
        <x:v>Tolerable provisionally as moderate exposure to the confirmed small-business segment, assuming reductions do not threaten financial capacity and treatment of customers remains appropriate. The segment’s premium concentration is unverified.</x:v>
      </x:c>
      <x:c r="E637" s="33" t="str">
        <x:v>Tolerable provisionally as moderate exposure to the confirmed small-business segment, assuming reductions do not threaten financial capacity and treatment of customers remains appropriate. The segment’s premium concentration is unverified. Assess combined premium-income effects across R-037, R-038 and R-040; individual affordability does not establish aggregate capacity.</x:v>
      </x:c>
      <x:c r="F637" s="33" t="str">
        <x:v>Agreed project decision; assessment qualifications retained</x:v>
      </x:c>
      <x:c r="G637" s="43" t="d">
        <x:v>2026-10-18T00:00:00.000Z</x:v>
      </x:c>
    </x:row>
    <x:row r="638" ht="125" customHeight="1">
      <x:c r="A638" s="33" t="str">
        <x:v>R-040</x:v>
      </x:c>
      <x:c r="B638" s="33" t="str">
        <x:v>D18</x:v>
      </x:c>
      <x:c r="C638" s="33" t="str">
        <x:v>X</x:v>
      </x:c>
      <x:c r="D638" s="33" t="str">
        <x:v>Tolerable provisionally as moderate competitive customer loss while continuing to offer insurance, assuming loss remains within financial capacity. Market research supports awareness but does not guarantee retention.</x:v>
      </x:c>
      <x:c r="E638" s="33" t="str">
        <x:v>Tolerable provisionally as moderate competitive customer loss while continuing to offer insurance, assuming loss remains within financial capacity. Market research supports awareness but does not guarantee retention. Assess combined premium-income effects across R-037, R-038 and R-040; individual affordability does not establish aggregate capacity.</x:v>
      </x:c>
      <x:c r="F638" s="33" t="str">
        <x:v>Agreed project decision; assessment qualifications retained</x:v>
      </x:c>
      <x:c r="G638" s="43" t="d">
        <x:v>2026-10-18T00:00:00.000Z</x:v>
      </x:c>
    </x:row>
  </x:sheetData>
  <x:pageMargins left="0.7" right="0.7" top="0.75" bottom="0.75" header="0.3" footer="0.3"/>
  <x:tableParts count="1">
    <x:tablePart xmlns:r="http://schemas.openxmlformats.org/officeDocument/2006/relationships" r:id="R540bf0d5e8514391"/>
  </x:tableParts>
</x:worksheet>
</file>